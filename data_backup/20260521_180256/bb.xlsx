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bicusa-my.sharepoint.com/personal/nambm_brothergroup_net/Documents/Tệp trò chuyện qua Microsoft Teams/"/>
    </mc:Choice>
  </mc:AlternateContent>
  <xr:revisionPtr revIDLastSave="851" documentId="13_ncr:1_{7996295A-F9EB-4C19-9749-08E6E8E6911A}" xr6:coauthVersionLast="47" xr6:coauthVersionMax="47" xr10:uidLastSave="{9298A6EA-14CD-4E75-8CFF-47B539197B8B}"/>
  <bookViews>
    <workbookView xWindow="9510" yWindow="-90" windowWidth="19380" windowHeight="10260" xr2:uid="{C85B104E-C961-4209-A338-D7F967FF24B5}"/>
  </bookViews>
  <sheets>
    <sheet name="Danh sách đề tài" sheetId="1" r:id="rId1"/>
    <sheet name="Sheet1" sheetId="3" r:id="rId2"/>
    <sheet name="Sheet2" sheetId="2" r:id="rId3"/>
  </sheets>
  <definedNames>
    <definedName name="HELLO" comment="Returns a greeting">_xlfn.LAMBDA(_xlpm.name, _xldudf_BOARDFLARE_EXEC("hello",_xlpm.name))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8" i="2" l="1"/>
  <c r="J6" i="2"/>
  <c r="K8" i="2"/>
  <c r="K6" i="2"/>
  <c r="K7" i="2" s="1"/>
  <c r="L7" i="2" s="1"/>
</calcChain>
</file>

<file path=xl/sharedStrings.xml><?xml version="1.0" encoding="utf-8"?>
<sst xmlns="http://schemas.openxmlformats.org/spreadsheetml/2006/main" count="243" uniqueCount="175">
  <si>
    <t>QCC 30. Đề xuất đề tài hoạt động QCC 30</t>
  </si>
  <si>
    <t>Đề tài giảm thời gian</t>
  </si>
  <si>
    <t>Lưu ý: Mỗi người tối thiểu 2 đề tài
Tên đề tài: Cắt giảm/Nâng cao/Cải tiến + vấn đề + tại phòng ban
Hiện trạng ghi rõ vấn đề đang gặp phải
Hiệu quả dự tính ghi rõ cắt giảm con số cụ thể (có giải thích)
Kế hoạch thực hiện</t>
  </si>
  <si>
    <t>Để tài nâng cao chất lượng</t>
  </si>
  <si>
    <t>Đề tài cải tiến nghiêp vụ</t>
  </si>
  <si>
    <t>STT</t>
  </si>
  <si>
    <t>Họ tên</t>
  </si>
  <si>
    <t>Đề tài 1</t>
  </si>
  <si>
    <t>Đề tài 2</t>
  </si>
  <si>
    <t>Đề tài 3</t>
  </si>
  <si>
    <t>Đề tài 4</t>
  </si>
  <si>
    <t>Đề tài 5</t>
  </si>
  <si>
    <t>Tên</t>
  </si>
  <si>
    <t>Hiện trạng</t>
  </si>
  <si>
    <t>Hiệu quả dự tính</t>
  </si>
  <si>
    <t>Kế hoạch thực hiện</t>
  </si>
  <si>
    <t>Đánh giá</t>
  </si>
  <si>
    <t>Nguyễn Duy Luân</t>
  </si>
  <si>
    <t>Nâng cao năng lực phát triển hệ thống tại nhóm phát triển hệ thống phòng R&amp;D-PE</t>
  </si>
  <si>
    <t>- Các thành viên đang có trình độ phát triển phần mềm khác nhau, khó hỗ trợ nhau trong công việc.
- Các đợt đánh giá sẽ mất nhiều thời giản chuẩn bị, rà soát thông tin để kiểm tra lại tài liệu.
- Các công việc xoay quanh một số thành viên nên khi nghỉ sẽ thiếu người đối ứng.</t>
  </si>
  <si>
    <t>Giảm thời gian chuẩn bị tài liệu, phát triển dự án.
Nâng cao năng lực thành viên.
Đào tạo nâng cao kỹ năng
phát triển module hóa: 5 vụ
Training AI
Nâng cao năng lực làm tài liệu</t>
  </si>
  <si>
    <t>Giảm thời gian điều tra lỗi thiết bị bằng cách áp dụng hệ thống IOT tại phòng R&amp;D-PE</t>
  </si>
  <si>
    <t>- Các thiết bị khi cần tổng hợp dữ liệu cần phải tự lấy log và tổng hợp thủ công mất nhiều thời gian.
- Phải đặt máy quay để xác nhận lỗi khi cần thiết.</t>
  </si>
  <si>
    <t>Giảm thời gian thu thập nội dung lỗi.
Tổng hợp báo cáo</t>
  </si>
  <si>
    <t>Hà Thị Kim Lanh</t>
  </si>
  <si>
    <t>Nâng cao năng lực tiếp nhận dự án phần mềm</t>
  </si>
  <si>
    <t>-Mất nhiều thời gian hiểu dự án cũ và đối ứng khi phát sinh lỗi: ~2h/ dự án/ vụ
-Không tìm thấy code cũ: đã phát sinh: 2 vụ
-Nhận dự án từ người khác:  2 dự án cũ/người/năm
- Số lỗi phát sinh Tb:~ 1 vụ/tháng</t>
  </si>
  <si>
    <t>-Mất nhiều thời gian hiểu dự án cũ và đối ứng khi phát sinh lỗi: Cần có tài liệu đầy đủ: ~1h/lỗi/ dự án
-Không tìm thấy code cũ: đẩy lên git : 0 vụ
Tổng hiệu quả: 1 vụ * 3 dự án*  9 thành viên * 1h= 27h/tháng</t>
  </si>
  <si>
    <t>Nâng cao năng lực làm tài liệu hệ thống</t>
  </si>
  <si>
    <t>-Tài liệu hệ thống thiếu nhiều: 26 tài liệu cần có
- Thời gian làm tài liệu nhiều: ~45h/dự án
Thời gian rà soát, check tài liệu: ~1h/dự án
Tb: 3 dự án/tháng</t>
  </si>
  <si>
    <t>-Tài liệu hệ thống thiếu nhiều: 26 tài liệu cần có
- Thời gian làm tài liệu nhiều: chuẩn hóa theo form mẫu ~25h/dự án
Thời gian rà soát, check tài liệu: tự động hóa ~0h/dự án
Tổng hiệu quả:  (20h + 1h)*3 = 63h/tháng</t>
  </si>
  <si>
    <t>OK</t>
  </si>
  <si>
    <t>Phạm Ngọc Tú</t>
  </si>
  <si>
    <t>Cải tiến nghiệp vụ lấy linh kiện tại kho MC F2</t>
  </si>
  <si>
    <t>- Hiện tại việc lấy linh kiện sẽ cần 8 chuyến/người/ngày trên tổng số 20 người chuyền FB và 6 người chuyền Print --&gt; 208 chuyến/ngày
- Xe linh kiện sau khi có đầy đủ linh kiện có thể 190 kg --&gt; đẩy cần nhiều sức và phải hoạt động trong thời gian dài --&gt; quá tải công việc</t>
  </si>
  <si>
    <t>Nâng cao nghiệp vụ</t>
  </si>
  <si>
    <t>28/8/2026</t>
  </si>
  <si>
    <t>Nâng cao hiệu quả kiểm tra độ mờ trang in model ELLe tại phòng QA  F1</t>
  </si>
  <si>
    <t xml:space="preserve">- Người thao tác đang vừa in vừa kiểm tra từng tờ xem có bị mờ dữ liệu không.
- Có thể bỏ sót khi cần đi wc, mỏi mắt, mất tập trung vì thời gian in nhanh 1 tờ /1.4s
</t>
  </si>
  <si>
    <t>Nâng cao hiệu quả kiểm tra (không phụ thuộc vào trông trực của con người)</t>
  </si>
  <si>
    <t>23/7/2026</t>
  </si>
  <si>
    <t xml:space="preserve"> </t>
  </si>
  <si>
    <t>Nguyễn Thị Xoan</t>
  </si>
  <si>
    <t>Giảm thời gian ghi nhập và hiển thị tình trạng được phép đóng gói gối</t>
  </si>
  <si>
    <t>- Mất thời gian ghi nhập thời gian kết thúc đổ mực + thời gian được phép đóng gói gối, tìm kiếm lot để cho vào đóng gói gối.
- Trường hợp phát sinh lỗi thì mất thời gian đi xác nhận mới biết được lý do
- Mất thời gian tìm kiếm lot, không nhìn trực quan được tình trạng hoàn thành các đơn hàng đóng 3,4,5
--&gt; Mất thời gian tìm các Lot được phép đóng gói gối và vị trí của các Lot này.</t>
  </si>
  <si>
    <t>Dự tính giảm ~48h/tháng
Hiệu quả cố định k có mở rộng</t>
  </si>
  <si>
    <t>Nguyễn Văn Quang</t>
  </si>
  <si>
    <t>Giảm thời gian ghi nhập và tìm kiếm khi phát sinh lỗi keypart model BH 17/19 PR2-PR2</t>
  </si>
  <si>
    <t>mất nhiều thời gian ghi nhập từng linh kiện vào file excel quản lý
Khi phát sinh lỗi việc tìm kiếm gặp nhiều khó khăn</t>
  </si>
  <si>
    <t>Giảm thời gian
48.62h/M/1 chuyền
F6 4 chuyền 
-&gt; hiệu quả trung bình 1 tháng sx 2 chuyền</t>
  </si>
  <si>
    <t>10/2025</t>
  </si>
  <si>
    <t>NG</t>
  </si>
  <si>
    <t>Giảm thời gian ghi nhập và tìm kiếm khi phát sinh lỗi keypart model BH 19/21 PR2-PR2</t>
  </si>
  <si>
    <t>Giảm thời gian
46.92h/M/1 chuyền</t>
  </si>
  <si>
    <t>11/2025</t>
  </si>
  <si>
    <t>Nguyễn Thị Luân</t>
  </si>
  <si>
    <t>Giảm thời gian nhập thông tin linh kiện lên hệ thống kho R&amp;D</t>
  </si>
  <si>
    <t>-Mất nhiều thời gian nhập linh kiện trên hệ thống. 
- phải so sánh nhiều thông tin trên 1 PO khi nập hàng về.</t>
  </si>
  <si>
    <t>-Mất thời gian tìm thông tin linh kiện.
- Mất thời gian so sánh thông tin lk (số lượng, mã lk, đơn giá, tổng tiền)
- Thời gian giảm trung bình  : 30  h/tháng.</t>
  </si>
  <si>
    <t>Giảm thời gian chuẩn bị, ghi nhập phiếu xuất kho</t>
  </si>
  <si>
    <t>- Mất thời gian in, cắt, ghi nhập phiếu xuất kho.
- Sử dụng nhiều giấy, góp phần làm ô nhiễm môi trường.</t>
  </si>
  <si>
    <t>-Mất thời gian in phiếu yêu cầu xuất kho, lọc vị trí (A-Z) để dễ cấp phát.
- Mất thời gian ghi, in phiếu Nhập-xuất kho.
-Thời gian giảm : 12h/tháng.</t>
  </si>
  <si>
    <t>Nguyễn Thành Nam</t>
  </si>
  <si>
    <t>Nâng cao năng lực quản lý đặt hàng tại phòng R&amp;D-PE</t>
  </si>
  <si>
    <t>Quản lý trên file excel, bị mất dữ liệu, dữ liệu bị ghi đè, không truy tìm được log khi có chỉnh sửa file</t>
  </si>
  <si>
    <t>Hiệu suất hóa nghiệp vụ, nâng cao chất lượng</t>
  </si>
  <si>
    <t>31/12/2026</t>
  </si>
  <si>
    <t>Gỉam thời gian tổng hợp, check tài liệu thiết bị phòng R&amp;D-PE</t>
  </si>
  <si>
    <t>Mất thời gian check tài liệu thiết bị, rà soát tài liệu để đối ứng đánh giá ISO
Phải rà soát từng đầu mục tài liệu và cập nhật file checklist trung bình mất khoảng 1 phút/1 tài liệu
Cải tiến rank A: 27 * 1 = 27 phút/1 thiết bị
Cải tiến rank B: 25 * 1 = 25 phút/1 thiết bị
Cải tiến rank C: 23 * 1 = 23 phút/1 thiết bị
Cải tiến rank D: 23 * 1 = 23 phút/1 thiết bị
Dự án rank A: 23 * 1 = 23 phút/1 thiết bị
Dự án rank B: 21 * 1 = 21 phút/1 thiết bị
Dự án rank C: 21 * 1 = 21 phút/1 thiết bị
Dự án rank D: 19 * 1 = 19 phút/1 thiết bị
-&gt; Trung bình 1 máy lãng phí 22.75 phút check tài liệu</t>
  </si>
  <si>
    <t>Cắt giảm thời gian check tài liệu thiết bị: 22.75 phút/ thiết bị</t>
  </si>
  <si>
    <t>Nguyễn Thị Gấm</t>
  </si>
  <si>
    <t>Giam thời gian xác nhận mã máy PE</t>
  </si>
  <si>
    <t>- Mã tạo trùng nhau, tạo đè lên nhau, trùng tên..
'- file lỗi không lưu được, ….</t>
  </si>
  <si>
    <t>5h/1 tháng</t>
  </si>
  <si>
    <t>Giam thời gian check báo cáo TSCĐ</t>
  </si>
  <si>
    <t>-Phải check  Check số lượng, giá tiền với Po phát hành trên hệ thống cor mất nhiều thời gian 
'- Không check được việc đặt hàng kho RD đặt hàng kho KZ.</t>
  </si>
  <si>
    <t>Giảm thời gian</t>
  </si>
  <si>
    <t>Nguyễn Huy Tuyển</t>
  </si>
  <si>
    <t>Cắt giảm thời gian Quản lý dụng cụ sửa chữa RD-EE</t>
  </si>
  <si>
    <t xml:space="preserve">Mất nhiều thời gian tìm kiếm dụng cụ đang được ai mượn và đang ở đâu, tình trạng đang sử dụng hay đã hỏng </t>
  </si>
  <si>
    <t>Phải đi hỏi từng người xem ai là người đang sử dụng.
 Thời gian dự tính : 30 phút / 1 lần tìm
Công cụ có sử dụng thường xuyên không? Tần suất đi tìm? Số lượng dụng cụ
Tính hiệu quả 1 tháng</t>
  </si>
  <si>
    <t>30/6/2026</t>
  </si>
  <si>
    <t>Nâng cao hiệu quả các phần mềm cần sử dụng  nhiều loại mạng khác nhau</t>
  </si>
  <si>
    <t>Khi phần mềm cần sử dụng cả mạng line và mạng văn phòng thì không thể sử dụng được khiến nhiều chức năng không thể thực thi</t>
  </si>
  <si>
    <t xml:space="preserve">nâng cao nghiệp vụ có thể dễ dàng hơn cho việc làm các chức năng như in log ra excel .
Giảm thời gian chuyển dữ liệu từ Line lên văn phòng ( ức tính 5h/tháng ).
Giảm thời gian phải nhờ bên IT hỗ trợ việc thiết lập (Có thể mất cả tháng thì mới được hoàn thành )
</t>
  </si>
  <si>
    <t>Vũ Vinh Ánh</t>
  </si>
  <si>
    <t>Nâng cao chất lượng phán định mực hàn BH.</t>
  </si>
  <si>
    <t>Hiện tại, công đoạn kiểm tra ngoại quan hộp mực hàn BH đang được thực hiện bằng mắt thường nên chất lượng kiểm tra chưa đồng nhất, dễ xảy ra tình trạng bỏ sót sản phẩm lỗi. Khi sản phẩm lỗi lọt ra thị trường có thể gây rò mực, lem mực hoặc lỗi in, làm ảnh hưởng trực tiếp đến trải nghiệm khách hàng, phát sinh khiếu nại và tăng chi phí đổi trả.
Do hộp mực đóng góp khoảng 25% doanh số công ty, chỉ cần tỷ lệ lỗi nhỏ cũng có thể ảnh hưởng lớn đến uy tín thương hiệu, mức độ tin tưởng của khách hàng và doanh số bán hàng lâu dài. Vì vậy, việc xây dựng phần mềm kiểm tra ngoại quan tự động là cần thiết nhằm nâng cao độ chính xác kiểm tra, giảm sản phẩm lỗi lọt công đoạn và đảm bảo chất lượng đầu ra ổn định.
Kế hoạch thực hiện : Khảo sát lỗi ngoại quan thực tế-&gt;Thu thập dữ liệu hình ảnh hộp mực-&gt;Xây dựng phần mềm nhận diện lỗi-&gt;Chạy thử và hiệu chỉnh-&gt;Đánh giá hiệu quả và triển khai thực tế
Ước tính giúp giảm chi phí nhân công và lỗi phát sinh khoảng 500$/tháng.</t>
  </si>
  <si>
    <t>Đề tài nâng cao chất lượng
Trung bình 1 tháng khoảng 5 -&gt; 6 lỗi /tháng
Sau cải tiến, giảm 100%</t>
  </si>
  <si>
    <t>Đang nghiên cứu chưa rõ thời gian hoàn thành</t>
  </si>
  <si>
    <t>Cải tiến tính ổn định và chính xác phần mềm kiểm tra ngoại quan máy in VIS</t>
  </si>
  <si>
    <t>Phần mềm kiểm tra ngoại quan máy in hiện tại vẫn còn xuất hiện một số lỗi trong quá trình vận hành, chất lượng phán định chưa đồng đều giữa các model và điều kiện kiểm tra khác nhau, dẫn đến khả năng nhận diện lỗi chưa ổn định. Ngoài ra, phần mềm còn thiếu một số tính năng hỗ trợ kiểm tra và thống kê dữ liệu, gây ảnh hưởng đến hiệu quả kiểm soát chất lượng sản phẩm.
Do đó, cần cải tiến phần mềm kiểm tra ngoại quan máy in nhằm nâng cao độ chính xác phán định, giảm lỗi lọt công đoạn, bổ sung các tính năng cần thiết và tăng tính ổn định trong quá trình vận hành thực tế.
Ước tính giúp giảm chi phí nhân công và lỗi phát sinh khoảng 500$/tháng.</t>
  </si>
  <si>
    <t>Đề tài nâng cao chất lượng</t>
  </si>
  <si>
    <t>Phạm Đức Anh</t>
  </si>
  <si>
    <t xml:space="preserve">Nâng cao nghiệp vụ xây dựng phần mềm khi áp dụng AI hỗ trợ </t>
  </si>
  <si>
    <t>Thực trạng các công ty trên toàn thế giới đều đang áp dụng AI để phục vụ việc code, việc đi theo xu hướng  là cần thiết. Hiện tại ở nhóm phần mềm khi chưa áp dụng AI đang code trung bình 1 dự án khoảng 3 tháng, như vậy 1 năm sẽ chỉ được 4 dự án. Nếu như áp dụng AI sẽ giảm được một nửa thời gian phát triển còn khoảng 1,5 tháng, sau khi các thành viên đã làm quen với AI thì thời gian phát triển có thể nhanh hơn nữa</t>
  </si>
  <si>
    <t xml:space="preserve">Giảm được một nửa số giờ công, dành thời gian làm nhiều dự án hơn hoặc các hoạt động của công ty  (QCC...)  mà không bị chậm deadline của nghiệp vụ chính
Đầu tư key AI: 73382000/ năm
</t>
  </si>
  <si>
    <t xml:space="preserve">Cắt giảm thời gian làm tài liệu bằng cách xây dựng phần mềm tự làm tài liệu nhóm phần mềm (cần chuẩn hóa lại file tài liệu) </t>
  </si>
  <si>
    <t>Hiện tại mỗi khi hoàn thành dự án sẽ phải làm 26 folder tài liệu liên quan đến dự án đó. Việc làm tài liệu này lặp đi lặp lại mỗi khi hoàn thành nên gây mất thời gian và cũng như tâm lý trì hoãn không muốn làm. Nếu có phần mềm tự động làm tài liệu sẽ giảm khá nhiều công sức và thời gian cho người lập trình</t>
  </si>
  <si>
    <t>Cá nhân em làm 26 folder tài liệu mất khoảng ~2h, khi áp dụng phần mềm có thể giảm xuống còn 45 phút
Nhược điểm của phần mềm này là không thể tự động hóa hoàn toàn, vẫn cần phải ghi nhập một số thông tin thì mới có đầu ra được</t>
  </si>
  <si>
    <t>3 tháng viết phần mềm</t>
  </si>
  <si>
    <t>Vũ Trung Hoàng Hiệp</t>
  </si>
  <si>
    <t>Giảm thời gian xây dựng hệ thống phần mềm bằng cách áp dụng công cụ AI</t>
  </si>
  <si>
    <t>Hiện nay, khi xây dựng các hệ thống phần mềm ứng dụng vào sản xuất tại công ty, lập trình viên chủ yếu vẫn tự lập trình truyền thống, chỉ dùng AI để hỗ trợ ban đầu. Đối với các hệ thống không yêu cầu độ bảo mật quá cao, việc lập trình truyền thống có một số nhược điểm:
+ Thời gian xây dựng phần mềm lâu, khi gặp lỗi thì thời gian debug và fix lỗi lâu
+ Khi được bàn giao phần mềm cũ thì mất khá nhiều thời gian để tìm hiểu cách thực thi của mã nguồn để thực hiện cải tiến phần mềm</t>
  </si>
  <si>
    <t>Việc sử dụng tốt công cụ AI hỗ trợ đem lại những hiệu quả sau:
+ Giảm thời gian xây dựng và sửa lỗi phần mềm đi đáng kể. Ví dụ, trước đây, với một mã nguồn khoảng 1000 dòng, cần ít nhất 1-2 tuần để lập trình và sửa lỗi, khi sử dụng AI tốt thì chỉ cần 3-4 ngày để đảm bảo mã nguồn chạy được.
+ Khi được bàn giao lại phần mềm cũ, lập trình truyền thống cần thời gian để hiểu mã nguồn rồi mới tiến hành cải tiến, với mã nguồn khoảng 1000 dòng thì cần khoảng 3-4 ngày để đọc hiểu rồi mới tiến hành cải tiến và sửa đổi, thời gian dự tính khoảng hơn 1 tuần để mã nguồn sau cải tiến chạy được. Khi sử dụng công cụ AI hiệu quả, việc hiểu chi tiết cách mã nguồn cũ thực hiện chỉ mất khoảng 1-2 ngày, sau đó cải tiến, sửa đổi và sửa lỗi lập trình chỉ mất thêm khoảng 2-3 ngày nữa. Thời gian giảm đi khoảng 2-4 ngày.</t>
  </si>
  <si>
    <t>Nâng cao tính ổn định hệ thống AGV vận chuyển pallet tại molding F1</t>
  </si>
  <si>
    <t>Đa số AGV đang áp dụng tại các nhà máy đang sử dụng tape từ, AGV tape từ:
+ Băng từ dán trên sàn rất dễ bị bong tróc, trầy xước hoặc hư hỏng =&gt; cần bảo trì định kỳ, chi phí ước tính nếu thay thế băng từ là khoảng 1 triệu VND (bao gồm thay băng từ mới, băng keo bảo vệ mặt và vệ sinh sàn); thời gian ước tính mỗi lần bảo trì là khoảng 20 phút ( nếu bảo trì định kì hàng tháng), nếu thay hoàn toàn băng từ mới thì thời gian ước tính là khoảng 1.5 tiếng.
+ AGV dễ bị văng khỏi đường từ và không quay lại đường được. =&gt; Cần người đảm nhiệm hạng mục kiểm tra chi tiết và đưa AGV vào lại đường để AGV di chuyển tiếp, thời gian ước tính mỗi lần khoảng 20-30 phút.</t>
  </si>
  <si>
    <t>+ Cắt giảm được chi phí và thời gian bảo trì định kỳ cho phần băng từ dán trên mặt sàn: 
+ AGV chỉ cần bám theo đường đi được thiết kế sẵn trong phần mềm, điều chỉnh liên tục nên nếu có lệch khỏi đường thì ngay lập tức có thể tự quay lại đường di chuyển đúng=&gt;  AGV hoạt động ổn định hơn, cắt giảm thời gian người đảm nhiệm cần sửa cho AGV hoạt động trở lại khi AGV tape từ bị văng đường.
Hiệu qủa mở rộng: triển khai toàn nhà máy</t>
  </si>
  <si>
    <t>T3 hoàn thành</t>
  </si>
  <si>
    <t>Mai Thị Tuyền</t>
  </si>
  <si>
    <t xml:space="preserve">Vũ Đình Cường </t>
  </si>
  <si>
    <t>Tên đề tài</t>
  </si>
  <si>
    <t>Giải thích</t>
  </si>
  <si>
    <t>Hiệu quả</t>
  </si>
  <si>
    <t>Kế hoạch hoàn thành</t>
  </si>
  <si>
    <t>- Các thành viên đang có trình độ phát triển phần mềm khác nhau, khó hỗ trợ nhau trong công việc.
- Các đợt đánh giá sẽ mất nhiều thời giản chuẩn bị, rà soát thông tin để kiểm tra lại tài liệu.
- Các công việc xoay quanh một số thành viên nên khi nghỉ sẽ thiếu người đối ứng.
-Tài liệu hệ thống thiếu nhiều: 26 tài liệu cần có
- Thời gian làm tài liệu nhiều: ~45h/dự án
Thời gian rà soát, check tài liệu: ~1h/dự án
Tb: 3 dự án/tháng</t>
  </si>
  <si>
    <t>- Hiện tại, công đoạn kiểm tra ngoại quan hộp mực hàn BH đang được thực hiện bằng mắt thường -&gt; chất lượng kiểm tra chưa đồng nhất, dễ xảy ra tình trạng bỏ sót sản phẩm lỗi. Khi sản phẩm lỗi lọt ra thị trường có thể gây rò mực, lem mực hoặc lỗi in, làm ảnh hưởng trực tiếp đến trải nghiệm khách hàng, phát sinh khiếu nại và tăng chi phí đổi trả.
Do hộp mực đóng góp khoảng 25% doanh số công ty, chỉ cần tỷ lệ lỗi nhỏ cũng có thể ảnh hưởng lớn đến uy tín thương hiệu, mức độ tin tưởng của khách hàng và doanh số bán hàng lâu dài.
Kế hoạch thực hiện : Khảo sát lỗi ngoại quan thực tế-&gt;Thu thập dữ liệu hình ảnh hộp mực-&gt;Xây dựng phần mềm nhận diện lỗi-&gt;Chạy thử và hiệu chỉnh-&gt;Đánh giá hiệu quả và triển khai thực tế
Ước tính giúp giảm chi phí nhân công và lỗi phát sinh khoảng 500$/tháng.</t>
  </si>
  <si>
    <t>- Đề tài nâng cao chất lượng: nâng cao độ chính xác kiểm tra, giảm sản phẩm lỗi lọt công đoạn và đảm bảo chất lượng đầu ra ổn định
Trung bình 1 tháng khoảng 5 -&gt; 6 lỗi /tháng
Sau cải tiến, giảm 100%</t>
  </si>
  <si>
    <t>Chấm điểm đề tài</t>
  </si>
  <si>
    <t>Cải tiến nghiệp vụ kiểm tra xuất hàng PCB</t>
  </si>
  <si>
    <t>- Đang sử dụng file giấy để kiểm tra.
- Không có thông tin các bản mạch thuộc lot sản xuất nào -&gt; Có nguy cơ kiểm tra sai.
- Mất nhiều thời gian đi lại xác nhận thông tin khi có lỗi -&gt; Áp dụng phê duyệt điện tử.
- Trước đây chưa xuất hàng bán cho BISG thì quy trình còn nhiều điểm chưa phù hợp -&gt; Cần áp dụng hệ thống, thay đổi quy trình.</t>
  </si>
  <si>
    <t>54 giờ/tháng</t>
  </si>
  <si>
    <t>Kiểm tra giắc cắm fuser</t>
  </si>
  <si>
    <t>- kiểm tra giắc cắm bằng mắt, do giắc cắm quá nhỏ, có thể xảy ra hiện tượng lọt lỗi gây chập cháy thiết bị
100% không thể đảm bảo chất lượng</t>
  </si>
  <si>
    <t>Xác nhận hiệu quả</t>
  </si>
  <si>
    <t>o</t>
  </si>
  <si>
    <t>Ghi nhập kết quả kiểm tra QA_Process</t>
  </si>
  <si>
    <t>- Hằng ngày ghi chép kết quả kiểm tra bằng tay
- Mất thời gian viết ra giấy sau đó nhập máy tính
- Mất thời gian ghi chép, in, xác nhận và đi lấy báo cáo phân phát cho các chuyền
- Mất thời gian, diện tích lưu trữ tài liệu</t>
  </si>
  <si>
    <t>29.4h/ tháng</t>
  </si>
  <si>
    <t>Cải tiến nghiệp vụ chụp ảnh linh kiện lỗi PSU</t>
  </si>
  <si>
    <t xml:space="preserve">-hiện trạng: khi phát hiện lỗi trên linh kiện người thao tác phải dùng máy ảnh để chụp lỗi trên linh kiện và chụp vị trí lỗi trên bản vẽ 3D. Dẫn đến khi làm báo cáo sẽ phải tìm ảnh từ trên thẻ nhớ sẽ phát sinh trường hợp sai ảnh, mất nhiều thời gian tìm kiếm.
</t>
  </si>
  <si>
    <r>
      <rPr>
        <sz val="14"/>
        <color rgb="FFFF0000"/>
        <rFont val="Calibri"/>
        <family val="2"/>
        <scheme val="minor"/>
      </rPr>
      <t xml:space="preserve">110$/ xác nhận lại
</t>
    </r>
    <r>
      <rPr>
        <sz val="14"/>
        <color rgb="FF000000"/>
        <rFont val="Calibri"/>
        <family val="2"/>
        <scheme val="minor"/>
      </rPr>
      <t>(Sau xác nhận 6500$/Năm)</t>
    </r>
  </si>
  <si>
    <t>Cải tiến nghiệp vụ so sánh thừa thiếu hạng mục kiểm tra linh kiện khuôn</t>
  </si>
  <si>
    <t>-người thao tác phải thực hiện kiểm tra thủ công file excel thông số linh kiện khuôn giữa file trước và sau khi hỏi thông tin từ nhà cung cấp. Mất nhiều thời gian để tìm kiếm, sai lệnh lớn, hiệu quả không cao</t>
  </si>
  <si>
    <r>
      <rPr>
        <sz val="14"/>
        <color rgb="FFFF0000"/>
        <rFont val="Calibri"/>
        <family val="2"/>
        <scheme val="minor"/>
      </rPr>
      <t xml:space="preserve">153h/tháng. Thêm hiệu quả NCC
</t>
    </r>
    <r>
      <rPr>
        <sz val="14"/>
        <color rgb="FF000000"/>
        <rFont val="Calibri"/>
        <family val="2"/>
        <scheme val="minor"/>
      </rPr>
      <t>(Không xác nhận hiểu quả của NCC được do số lượng NCC nhiều và không thông kê được số lượng thời gian NCC giảm sau áp dụng)</t>
    </r>
  </si>
  <si>
    <t>Vũ Minh Hiếu</t>
  </si>
  <si>
    <t>Cắt giảm thời gian Thay đổi thiết kế</t>
  </si>
  <si>
    <t xml:space="preserve"> - Hiện tại chưa có 1 hệ thống nào quản lý các TĐTK của thiết bị
-  Chưa có cái nhìn tổng quan về TĐTK trên thiết bị tại các nhà máy/ Model
- Mất nhiều thời gian chuẩn bị tài liệu, không ghi nhập vào CheckSheet, xin dấu trực tiếp ( Thời gian xin dấu phê duyệt, soạn tài liệu, ghi nhập checksheet)</t>
  </si>
  <si>
    <t>6,307USD/Năm/Model</t>
  </si>
  <si>
    <r>
      <t>Cải tiến nghiệp vụ xin xác nhận phê duyệt data test run SQM_SQC, EPE</t>
    </r>
    <r>
      <rPr>
        <sz val="14"/>
        <color rgb="FFFF0000"/>
        <rFont val="Calibri"/>
        <family val="2"/>
        <scheme val="minor"/>
      </rPr>
      <t>. Thay đổi đề tài làm cho PE</t>
    </r>
  </si>
  <si>
    <r>
      <t xml:space="preserve">Thêm nhà máy TTF </t>
    </r>
    <r>
      <rPr>
        <sz val="14"/>
        <color theme="1"/>
        <rFont val="Times New Roman"/>
        <family val="1"/>
      </rPr>
      <t>→</t>
    </r>
    <r>
      <rPr>
        <sz val="7.7"/>
        <color theme="1"/>
        <rFont val="Calibri"/>
        <family val="2"/>
      </rPr>
      <t xml:space="preserve"> </t>
    </r>
    <r>
      <rPr>
        <sz val="14"/>
        <color theme="1"/>
        <rFont val="Calibri"/>
        <family val="2"/>
        <scheme val="minor"/>
      </rPr>
      <t xml:space="preserve">Di chuyển xin dấu mất nhiều thời gian (4h/1 lần)
Trung bình 1 lần di chuyển xin dấu mất khoảng 30'
Có tới 16 lượt phê duyệt / 1 bản data test run. 120 bản/ tháng
→ Cần hiệu suất hóa nghiệp vụ. </t>
    </r>
  </si>
  <si>
    <r>
      <t xml:space="preserve">1 tháng mất khoảng = 0.5*16*110 = 880h = 101.61 ngày công (880/8.66)
 </t>
    </r>
    <r>
      <rPr>
        <sz val="14"/>
        <color rgb="FFFF0000"/>
        <rFont val="Times New Roman"/>
        <family val="1"/>
      </rPr>
      <t>→ 101/21.2 = 4.79 nhân công</t>
    </r>
    <r>
      <rPr>
        <sz val="14"/>
        <color rgb="FFFF0000"/>
        <rFont val="Calibri"/>
        <family val="2"/>
        <scheme val="minor"/>
      </rPr>
      <t xml:space="preserve">
</t>
    </r>
  </si>
  <si>
    <t>Kiểm tra thông dẫn MA10 DLL. RD-EE</t>
  </si>
  <si>
    <t>- FB và PRT được kiểm tra tại các cơ sở riêng biệt và không thể sử dụng cùng nhau → Điều này gây ra vấn đề trong việc lập kế hoạch sản xuất.​
- Yêu cầu sản xuất là tạo ra thiết bị dùng chung trên dây chuyền trộn để có thể kiểm tra cả FB và PRT.</t>
  </si>
  <si>
    <t xml:space="preserve">
 Số người cắt giảm sau cải tiến​: 2 người​
 Hiệu quả cắt giảm/thiết bị/năm/ người​: 5030$​
Số tiền cắt giảm sau cải tiến(COPQ,LK lỗi P, thay thế LK…)​: 660​$
TỔNG HIỆU QUẢ / NĂM​ = 2*5030+660=10720​
</t>
  </si>
  <si>
    <t>Quản lý vấn đề dừng chuyền trên 5'</t>
  </si>
  <si>
    <t>・Người phát hành mất thời gian nhắc nhở đối với các lỗi chậm tiến độ.
・Người quản lý không trực quan hóa khi kiểm soát dừng chuyền trong nhà máy.</t>
  </si>
  <si>
    <t>thống kê thời gian dừng chuyền</t>
  </si>
  <si>
    <t>Đào Đắc Đạt</t>
  </si>
  <si>
    <t>Cải tiến phần mềm kiểm tra hình ảnh dầu</t>
  </si>
  <si>
    <t>Phần mềm kiểm tra hiện tại thường xuyên vị treo, đơ và văng, gây hạn chế cho việc kiểm tra bằng máy tính</t>
  </si>
  <si>
    <t>chất lượng</t>
  </si>
  <si>
    <t>Vũ Viết Vinh</t>
  </si>
  <si>
    <t>Cắt giảm người vận chuyển Tray và Pallet truyền W001,W002 tại nhà máy F3</t>
  </si>
  <si>
    <t>Người thao tác phải kéo tay tốn nhiều sức lực -&gt; đưa AGV
thay thế cho con người.</t>
  </si>
  <si>
    <t xml:space="preserve">Hiệu quả cắt giảm 3ng/2 ca/ w001,w002 nhà máy F3
Đã triển khai tại nhà máy F2 , F4 với công đoạn tương tự.
</t>
  </si>
  <si>
    <t>Giảm lỗi hỏng thẻ từ AGV</t>
  </si>
  <si>
    <t xml:space="preserve">- Tại vị trí xe hanlit đi qua,
 hoặc xe nâng hàng đè lên thẻ 
-&gt; hỏng thẻ -&gt; AGV không 
hoạt động đúng theo lộ trình-&gt; 
mất nhiều thòi gian đối ứng </t>
  </si>
  <si>
    <t xml:space="preserve">Trước: trung bình mất 
10 thẻ /tháng; mỗi lần đi điều tra thay thế mất 15 phút.
Sau: 2 thẻ/tháng; giảm thời gian đối ứng lỗi.
Hiệu quả = 10h/tháng </t>
  </si>
  <si>
    <t>Nguyễn Văn Toàn</t>
  </si>
  <si>
    <t>Cắt số công khi thao tác gá phôi trên máy CNC</t>
  </si>
  <si>
    <t>hiện tại đang dùng dụng cụ tự chế để vặn bằng tay mất rất nhiều tốn khoảng 10 phút trên một lần gá phôi.</t>
  </si>
  <si>
    <t>10h/tháng</t>
  </si>
  <si>
    <t>Hoàng Văn Chuyên</t>
  </si>
  <si>
    <t xml:space="preserve">Cải tiến phương pháp lấy gốc phôi khi gia công trên máy phay cơ </t>
  </si>
  <si>
    <t xml:space="preserve">Hiện tại đang dùng các phương pháp lấy gốc bằng cách dùng các cán dao gãy để lấy gốc dẫn đến tình trạng bị sai số quá và lệch gốc. </t>
  </si>
  <si>
    <t>Cắt giảm thời gian tính tổng năng suất nhà máy. BPS</t>
  </si>
  <si>
    <t>B1 : BPS tổng hợp dữ liệu từ nhiều file excel, dữ liệu trên hệ thống MH. 
B2 : Sau đó thực hiện tính toán và điền dữ liệu vào nhiều nguồn file.
B3 :Tổng hợp dữ liệu và vẽ biểu đồ</t>
  </si>
  <si>
    <t>138h/ tháng</t>
  </si>
  <si>
    <t>Nâng cao hiệu quả quản lý linh kiện kho MC</t>
  </si>
  <si>
    <t>Hệ thống cũ lỗi thời, không cập nhật được nhiều trạng thái (đếm tay, cân máy)</t>
  </si>
  <si>
    <t>12/2026</t>
  </si>
  <si>
    <t xml:space="preserve">- Giảm thời gian chuẩn bị tài liệu, phát triển dự án.
           + Tài liệu hệ thống thiếu nhiều: 26 tài liệu cần có
           + Thời gian làm tài liệu nhiều: chuẩn hóa theo form mẫu ~25h/dự án
           + Thời gian rà soát, check tài liệu: tự động hóa ~0h/dự án
           Tổng hiệu quả:  (20h + 1h)*3 = 63h/tháng
- Nâng cao năng lực thành viên (Đào tạo nâng cao kỹ năng, Training AI)
- Phát triển và ứng dụng chức năng chung, thư viện: 5 vụ
</t>
  </si>
  <si>
    <t xml:space="preserve">+ Cắt giảm được chi phí và thời gian bảo trì định kỳ cho phần băng từ dán trên mặt sàn:
+ AGV chỉ cần bám theo đường đi được thiết kế sẵn trong phần mềm, điều chỉnh liên tục nên nếu có lệch khỏi đường thì ngay lập tức có thể tự quay lại đường di chuyển đúng=&gt;  AGV hoạt động ổn định hơn, cắt giảm thời gian người đảm nhiệm cần sửa cho AGV hoạt động trở lại khi AGV tape từ bị văng đường.
Hiệu qủa mở rộng: triển khai toàn nhà máy						</t>
  </si>
  <si>
    <t>Tính thực hiện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</si>
</sst>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8"/>
      <name val="Calibri"/>
      <family val="2"/>
      <scheme val="minor"/>
    </font>
    <font>
      <sz val="14"/>
      <color theme="1"/>
      <name val="Calibri"/>
      <family val="2"/>
      <scheme val="minor"/>
    </font>
    <font>
      <sz val="14"/>
      <color rgb="FFFF0000"/>
      <name val="Calibri"/>
      <family val="2"/>
      <scheme val="minor"/>
    </font>
    <font>
      <sz val="14"/>
      <color rgb="FF000000"/>
      <name val="Calibri"/>
      <family val="2"/>
      <scheme val="minor"/>
    </font>
    <font>
      <sz val="14"/>
      <color theme="1"/>
      <name val="Times New Roman"/>
      <family val="1"/>
    </font>
    <font>
      <sz val="7.7"/>
      <color theme="1"/>
      <name val="Calibri"/>
      <family val="2"/>
    </font>
    <font>
      <sz val="14"/>
      <color rgb="FFFF0000"/>
      <name val="Times New Roman"/>
      <family val="1"/>
    </font>
    <font>
      <b/>
      <sz val="20"/>
      <color theme="1"/>
      <name val="Calibri"/>
      <family val="2"/>
      <scheme val="minor"/>
    </font>
    <font>
      <sz val="14"/>
      <color rgb="FF000000"/>
      <name val="Calibri"/>
      <family val="2"/>
    </font>
    <font>
      <b/>
      <sz val="46"/>
      <color rgb="FFFF6600"/>
      <name val="Times New Roman"/>
      <family val="1"/>
    </font>
    <font>
      <b/>
      <sz val="36"/>
      <color theme="5" tint="-0.249977111117893"/>
      <name val="Times New Roman"/>
      <family val="1"/>
    </font>
    <font>
      <b/>
      <sz val="16"/>
      <name val="Times New Roman"/>
      <family val="1"/>
    </font>
    <font>
      <i/>
      <sz val="16"/>
      <color rgb="FFFF0000"/>
      <name val="Times New Roman"/>
      <family val="1"/>
    </font>
    <font>
      <i/>
      <sz val="14"/>
      <color theme="1"/>
      <name val="Times New Roman"/>
      <family val="1"/>
    </font>
    <font>
      <b/>
      <sz val="22"/>
      <color theme="5" tint="-0.249977111117893"/>
      <name val="Times New Roman"/>
      <family val="1"/>
    </font>
    <font>
      <sz val="14"/>
      <color rgb="FF000000"/>
      <name val="Times New Roman"/>
    </font>
    <font>
      <sz val="14"/>
      <color theme="1"/>
      <name val="Times New Roman"/>
    </font>
    <font>
      <sz val="18"/>
      <color theme="1"/>
      <name val="Calibri"/>
      <family val="2"/>
      <scheme val="minor"/>
    </font>
  </fonts>
  <fills count="8">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00B0F0"/>
        <bgColor indexed="64"/>
      </patternFill>
    </fill>
    <fill>
      <patternFill patternType="solid">
        <fgColor theme="5" tint="0.39997558519241921"/>
        <bgColor indexed="64"/>
      </patternFill>
    </fill>
    <fill>
      <patternFill patternType="solid">
        <fgColor theme="0"/>
        <bgColor indexed="64"/>
      </patternFill>
    </fill>
    <fill>
      <patternFill patternType="solid">
        <fgColor theme="0" tint="-0.34998626667073579"/>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indexed="64"/>
      </bottom>
      <diagonal/>
    </border>
    <border>
      <left/>
      <right style="thin">
        <color rgb="FF000000"/>
      </right>
      <top/>
      <bottom style="thin">
        <color indexed="64"/>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89">
    <xf numFmtId="0" fontId="0" fillId="0" borderId="0" xfId="0"/>
    <xf numFmtId="0" fontId="2" fillId="2"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1" xfId="0" quotePrefix="1" applyFont="1" applyBorder="1" applyAlignment="1">
      <alignment horizontal="center" vertical="center" wrapText="1"/>
    </xf>
    <xf numFmtId="0" fontId="2" fillId="2" borderId="6" xfId="0" applyFont="1" applyFill="1" applyBorder="1" applyAlignment="1">
      <alignment horizontal="center" vertical="center"/>
    </xf>
    <xf numFmtId="0" fontId="3" fillId="0" borderId="1" xfId="0" applyFont="1" applyBorder="1" applyAlignment="1">
      <alignment horizontal="center"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0" borderId="7" xfId="0" applyFont="1" applyBorder="1" applyAlignment="1">
      <alignment horizontal="center" vertical="center"/>
    </xf>
    <xf numFmtId="0" fontId="9" fillId="0" borderId="1" xfId="0" applyFont="1" applyBorder="1" applyAlignment="1">
      <alignment horizontal="center" vertical="center"/>
    </xf>
    <xf numFmtId="0" fontId="5" fillId="0" borderId="0" xfId="0" applyFont="1"/>
    <xf numFmtId="0" fontId="11" fillId="0" borderId="0" xfId="0" applyFont="1" applyAlignment="1">
      <alignment horizontal="center" vertical="center"/>
    </xf>
    <xf numFmtId="0" fontId="11" fillId="3" borderId="1" xfId="0" applyFont="1" applyFill="1" applyBorder="1" applyAlignment="1">
      <alignment horizontal="center" vertical="center"/>
    </xf>
    <xf numFmtId="0" fontId="12" fillId="0" borderId="1" xfId="0" applyFont="1" applyBorder="1" applyAlignment="1">
      <alignment horizontal="center" vertical="center"/>
    </xf>
    <xf numFmtId="0" fontId="11" fillId="4" borderId="1" xfId="0" applyFont="1" applyFill="1" applyBorder="1" applyAlignment="1">
      <alignment horizontal="center" vertical="center"/>
    </xf>
    <xf numFmtId="0" fontId="11" fillId="5" borderId="1" xfId="0" applyFont="1" applyFill="1" applyBorder="1" applyAlignment="1">
      <alignment horizontal="center" vertical="center"/>
    </xf>
    <xf numFmtId="0" fontId="14" fillId="0" borderId="9" xfId="0" applyFont="1" applyBorder="1" applyAlignment="1">
      <alignment horizontal="left"/>
    </xf>
    <xf numFmtId="0" fontId="14" fillId="0" borderId="0" xfId="0" applyFont="1" applyAlignment="1">
      <alignment horizontal="left"/>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5" fillId="0" borderId="1" xfId="0" quotePrefix="1" applyFont="1" applyBorder="1" applyAlignment="1">
      <alignment horizontal="center" vertical="center" wrapText="1"/>
    </xf>
    <xf numFmtId="0" fontId="5" fillId="0" borderId="1" xfId="0" quotePrefix="1" applyFont="1" applyBorder="1" applyAlignment="1">
      <alignment horizontal="left" vertical="center" wrapText="1"/>
    </xf>
    <xf numFmtId="0" fontId="5" fillId="0" borderId="1" xfId="0" applyFont="1" applyBorder="1" applyAlignment="1">
      <alignment horizontal="left" vertical="center" wrapText="1"/>
    </xf>
    <xf numFmtId="0" fontId="5"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13" fillId="0" borderId="9" xfId="0" applyFont="1" applyBorder="1" applyAlignment="1">
      <alignment horizontal="left" vertical="center" indent="1"/>
    </xf>
    <xf numFmtId="0" fontId="5" fillId="2" borderId="1" xfId="0" applyFont="1" applyFill="1" applyBorder="1" applyAlignment="1">
      <alignment vertical="center"/>
    </xf>
    <xf numFmtId="0" fontId="5" fillId="6" borderId="1" xfId="0" applyFont="1" applyFill="1" applyBorder="1" applyAlignment="1">
      <alignment horizontal="center" vertical="center" wrapText="1"/>
    </xf>
    <xf numFmtId="17" fontId="5" fillId="0" borderId="1" xfId="0" applyNumberFormat="1" applyFont="1" applyBorder="1" applyAlignment="1">
      <alignment horizontal="center" vertical="center" wrapText="1"/>
    </xf>
    <xf numFmtId="0" fontId="17" fillId="0" borderId="1" xfId="0" quotePrefix="1" applyFont="1" applyBorder="1" applyAlignment="1">
      <alignment horizontal="center" vertical="center" wrapText="1"/>
    </xf>
    <xf numFmtId="0" fontId="5" fillId="7" borderId="1" xfId="0" applyFont="1" applyFill="1" applyBorder="1" applyAlignment="1">
      <alignment horizontal="center" vertical="center" wrapText="1"/>
    </xf>
    <xf numFmtId="14" fontId="5" fillId="7" borderId="1" xfId="0" applyNumberFormat="1" applyFont="1" applyFill="1" applyBorder="1" applyAlignment="1">
      <alignment horizontal="center" vertical="center" wrapText="1"/>
    </xf>
    <xf numFmtId="0" fontId="5" fillId="7" borderId="1" xfId="0" quotePrefix="1" applyFont="1" applyFill="1" applyBorder="1" applyAlignment="1">
      <alignment horizontal="left" vertical="center" wrapText="1"/>
    </xf>
    <xf numFmtId="0" fontId="5" fillId="7" borderId="1" xfId="0" quotePrefix="1" applyFont="1" applyFill="1" applyBorder="1" applyAlignment="1">
      <alignment horizontal="center" vertical="center" wrapText="1"/>
    </xf>
    <xf numFmtId="0" fontId="5" fillId="7" borderId="1" xfId="0" applyFont="1" applyFill="1" applyBorder="1" applyAlignment="1">
      <alignment horizontal="left" vertical="center" wrapText="1"/>
    </xf>
    <xf numFmtId="0" fontId="16" fillId="0" borderId="1" xfId="0" quotePrefix="1" applyFont="1" applyBorder="1" applyAlignment="1">
      <alignment horizontal="left" vertical="center" wrapText="1"/>
    </xf>
    <xf numFmtId="0" fontId="0" fillId="0" borderId="0" xfId="0" quotePrefix="1" applyAlignment="1">
      <alignment vertical="center" wrapText="1"/>
    </xf>
    <xf numFmtId="0" fontId="0" fillId="0" borderId="0" xfId="0" applyAlignment="1">
      <alignment vertical="center" wrapText="1"/>
    </xf>
    <xf numFmtId="0" fontId="5" fillId="2" borderId="1" xfId="0" applyFont="1" applyFill="1" applyBorder="1" applyAlignment="1">
      <alignment horizontal="center" vertical="center"/>
    </xf>
    <xf numFmtId="0" fontId="10" fillId="0" borderId="0" xfId="0" applyFont="1" applyAlignment="1">
      <alignment horizontal="center" vertical="center"/>
    </xf>
    <xf numFmtId="0" fontId="15" fillId="0" borderId="0" xfId="0" applyFont="1" applyAlignment="1">
      <alignment horizontal="left" vertical="center" wrapText="1"/>
    </xf>
    <xf numFmtId="0" fontId="13" fillId="0" borderId="10" xfId="0" applyFont="1" applyBorder="1" applyAlignment="1">
      <alignment horizontal="left" vertical="center" indent="1"/>
    </xf>
    <xf numFmtId="0" fontId="13" fillId="0" borderId="4" xfId="0" applyFont="1" applyBorder="1" applyAlignment="1">
      <alignment horizontal="left" vertical="center" indent="1"/>
    </xf>
    <xf numFmtId="0" fontId="13" fillId="0" borderId="8" xfId="0" applyFont="1" applyBorder="1" applyAlignment="1">
      <alignment horizontal="left" vertical="center" indent="1"/>
    </xf>
    <xf numFmtId="0" fontId="0" fillId="0" borderId="11" xfId="0" applyBorder="1" applyAlignment="1">
      <alignment horizontal="center" vertical="center" wrapText="1"/>
    </xf>
    <xf numFmtId="0" fontId="0" fillId="0" borderId="11" xfId="0" quotePrefix="1" applyBorder="1" applyAlignment="1">
      <alignment horizontal="left" vertical="center" wrapText="1"/>
    </xf>
    <xf numFmtId="0" fontId="0" fillId="0" borderId="11" xfId="0" applyBorder="1" applyAlignment="1">
      <alignment horizontal="center" vertical="center"/>
    </xf>
    <xf numFmtId="0" fontId="18" fillId="0" borderId="0" xfId="0" applyFont="1" applyAlignment="1">
      <alignment horizontal="center" vertical="center"/>
    </xf>
    <xf numFmtId="0" fontId="8" fillId="3" borderId="0" xfId="0" applyFont="1" applyFill="1" applyAlignment="1">
      <alignment horizontal="center"/>
    </xf>
    <xf numFmtId="0" fontId="0" fillId="3" borderId="0" xfId="0" applyFill="1" applyAlignment="1">
      <alignment horizont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5" xfId="0" applyFont="1" applyFill="1" applyBorder="1" applyAlignment="1">
      <alignment horizontal="center" vertical="center"/>
    </xf>
    <xf numFmtId="49" fontId="0" fillId="0" borderId="11" xfId="0" applyNumberFormat="1" applyBorder="1" applyAlignment="1">
      <alignment horizontal="center" vertical="center"/>
    </xf>
    <xf numFmtId="0" fontId="0" fillId="0" borderId="12" xfId="0" quotePrefix="1" applyBorder="1" applyAlignment="1">
      <alignment horizontal="left"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0" xfId="0" applyBorder="1" applyAlignment="1">
      <alignment horizontal="center" vertical="center" wrapText="1"/>
    </xf>
    <xf numFmtId="0" fontId="0" fillId="0" borderId="17" xfId="0" applyBorder="1" applyAlignment="1">
      <alignment horizontal="center" vertical="center" wrapText="1"/>
    </xf>
    <xf numFmtId="0" fontId="0" fillId="0" borderId="18" xfId="0" applyBorder="1" applyAlignment="1">
      <alignment horizontal="center" vertical="center" wrapText="1"/>
    </xf>
    <xf numFmtId="0" fontId="0" fillId="0" borderId="9" xfId="0" applyBorder="1" applyAlignment="1">
      <alignment horizontal="center" vertical="center"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0" fillId="0" borderId="21" xfId="0" applyBorder="1" applyAlignment="1">
      <alignment horizontal="center" vertical="center" wrapText="1"/>
    </xf>
    <xf numFmtId="0" fontId="0" fillId="0" borderId="22" xfId="0" applyBorder="1" applyAlignment="1">
      <alignment horizontal="center" vertical="center" wrapText="1"/>
    </xf>
    <xf numFmtId="0" fontId="0" fillId="0" borderId="13" xfId="0" quotePrefix="1" applyBorder="1" applyAlignment="1">
      <alignment horizontal="center" vertical="center" wrapText="1"/>
    </xf>
    <xf numFmtId="0" fontId="0" fillId="0" borderId="14" xfId="0" quotePrefix="1" applyBorder="1" applyAlignment="1">
      <alignment horizontal="center" vertical="center" wrapText="1"/>
    </xf>
    <xf numFmtId="0" fontId="0" fillId="0" borderId="15" xfId="0" quotePrefix="1" applyBorder="1" applyAlignment="1">
      <alignment horizontal="center" vertical="center" wrapText="1"/>
    </xf>
    <xf numFmtId="0" fontId="0" fillId="0" borderId="16" xfId="0" quotePrefix="1" applyBorder="1" applyAlignment="1">
      <alignment horizontal="center" vertical="center" wrapText="1"/>
    </xf>
    <xf numFmtId="0" fontId="0" fillId="0" borderId="0" xfId="0" quotePrefix="1" applyBorder="1" applyAlignment="1">
      <alignment horizontal="center" vertical="center" wrapText="1"/>
    </xf>
    <xf numFmtId="0" fontId="0" fillId="0" borderId="17" xfId="0" quotePrefix="1" applyBorder="1" applyAlignment="1">
      <alignment horizontal="center" vertical="center" wrapText="1"/>
    </xf>
    <xf numFmtId="0" fontId="0" fillId="0" borderId="20" xfId="0" quotePrefix="1" applyBorder="1" applyAlignment="1">
      <alignment horizontal="center" vertical="center" wrapText="1"/>
    </xf>
    <xf numFmtId="0" fontId="0" fillId="0" borderId="21" xfId="0" quotePrefix="1" applyBorder="1" applyAlignment="1">
      <alignment horizontal="center" vertical="center" wrapText="1"/>
    </xf>
    <xf numFmtId="0" fontId="0" fillId="0" borderId="22" xfId="0" quotePrefix="1" applyBorder="1" applyAlignment="1">
      <alignment horizontal="center" vertical="center" wrapText="1"/>
    </xf>
    <xf numFmtId="49" fontId="0" fillId="0" borderId="13" xfId="0" applyNumberFormat="1" applyBorder="1" applyAlignment="1">
      <alignment horizontal="center" vertical="center"/>
    </xf>
    <xf numFmtId="49" fontId="0" fillId="0" borderId="15" xfId="0" applyNumberFormat="1" applyBorder="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49" fontId="0" fillId="0" borderId="20" xfId="0" applyNumberFormat="1" applyBorder="1" applyAlignment="1">
      <alignment horizontal="center" vertical="center"/>
    </xf>
    <xf numFmtId="49" fontId="0" fillId="0" borderId="22" xfId="0" applyNumberFormat="1" applyBorder="1" applyAlignment="1">
      <alignment horizontal="center" vertical="center"/>
    </xf>
    <xf numFmtId="0" fontId="5" fillId="0" borderId="1" xfId="0" applyFont="1" applyFill="1" applyBorder="1" applyAlignment="1">
      <alignment horizontal="center" vertical="center" wrapText="1"/>
    </xf>
    <xf numFmtId="14" fontId="5" fillId="0" borderId="1" xfId="0" applyNumberFormat="1" applyFont="1" applyFill="1" applyBorder="1" applyAlignment="1">
      <alignment horizontal="center" vertical="center" wrapText="1"/>
    </xf>
    <xf numFmtId="0" fontId="5" fillId="3"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E48CBAF-9B34-474E-95E2-45D21E5A41BA}">
  <we:reference id="WA200007447" version="1.0.0.0" store="en-US" storeType="omex"/>
  <we:alternateReferences>
    <we:reference id="WA200007447" version="1.0.0.0" store="en-US" storeType="omex"/>
  </we:alternateReferences>
  <we:properties>
    <we:property name="hello" value="{&quot;name&quot;:&quot;hello&quot;,&quot;code&quot;:&quot;def hello(name):\n    \&quot;\&quot;\&quot; Returns a greeting. \&quot;\&quot;\&quot;\n    return f\&quot;Hello {name}!\&quot;\n    \n# Quick tips:\n\n# ⬅️ Drag task pane open for more room.\n# ⚠️ Code MUST BE A FUNCTION!\n\n# Range args are converted as follows:\n# - Single cell is a scalar.\n# - Row of two cells is [[1, 2]]\n# - Column of two cells is [[1], [2]]\n\n# Return value must be a 2D list or scalar.\n# - 24 returns a single cell\n# - [[\&quot;age\&quot;, 24]] returns a row\n# - [[\&quot;age\&quot;], [24]] returns a column&quot;,&quot;signature&quot;:&quot;HELLO(name)&quot;,&quot;description&quot;:&quot;Returns a greeting&quot;,&quot;resultLine&quot;:&quot;\n\nresult = hello(**{k: v for k, v in [(\&quot;name\&quot;, arg1 if arg1 != \&quot;__OMITTED__\&quot; else None)] if v is not None})&quot;,&quot;formula&quot;:&quot;=LAMBDA(name, BOARDFLARE.EXEC(\&quot;hello\&quot;,name))&quot;,&quot;execFormula&quot;:&quot;=BOARDFLARE.EXEC(\&quot;hello\&quot;, arg1)&quot;,&quot;timestamp&quot;:&quot;2025-04-18T08:48:31.734Z&quot;,&quot;uid&quot;:&quot;anonymous&quot;,&quot;parameters&quot;:[{&quot;name&quot;:&quot;name&quot;}],&quot;imports&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E12F5-A49A-4E1E-B4F7-D420E8FD30A3}">
  <dimension ref="A1:AA22"/>
  <sheetViews>
    <sheetView tabSelected="1" topLeftCell="A6" zoomScale="50" zoomScaleNormal="50" workbookViewId="0">
      <selection activeCell="H14" sqref="H14"/>
    </sheetView>
  </sheetViews>
  <sheetFormatPr defaultColWidth="9" defaultRowHeight="46.2" customHeight="1" x14ac:dyDescent="0.35"/>
  <cols>
    <col min="1" max="1" width="9" style="12"/>
    <col min="2" max="2" width="25" style="12" customWidth="1"/>
    <col min="3" max="3" width="112.88671875" style="12" customWidth="1"/>
    <col min="4" max="4" width="88.6640625" style="12" hidden="1" customWidth="1"/>
    <col min="5" max="5" width="76" style="12" hidden="1" customWidth="1"/>
    <col min="6" max="6" width="24.44140625" style="12" hidden="1" customWidth="1"/>
    <col min="7" max="7" width="13" style="12" hidden="1" customWidth="1"/>
    <col min="8" max="8" width="120.77734375" style="12" customWidth="1"/>
    <col min="9" max="9" width="73.5546875" style="12" customWidth="1"/>
    <col min="10" max="10" width="62.88671875" style="12" customWidth="1"/>
    <col min="11" max="11" width="32.5546875" style="12" customWidth="1"/>
    <col min="12" max="12" width="13" style="12" customWidth="1"/>
    <col min="13" max="13" width="27" style="12" customWidth="1"/>
    <col min="14" max="14" width="61" style="12" customWidth="1"/>
    <col min="15" max="16" width="23.44140625" style="12" customWidth="1"/>
    <col min="17" max="17" width="13" style="12" customWidth="1"/>
    <col min="18" max="18" width="27" style="12" customWidth="1"/>
    <col min="19" max="19" width="61" style="12" customWidth="1"/>
    <col min="20" max="21" width="23.44140625" style="12" customWidth="1"/>
    <col min="22" max="22" width="13" style="12" customWidth="1"/>
    <col min="23" max="23" width="27" style="12" customWidth="1"/>
    <col min="24" max="24" width="61" style="12" customWidth="1"/>
    <col min="25" max="26" width="23.44140625" style="12" customWidth="1"/>
    <col min="27" max="27" width="13" style="12" customWidth="1"/>
    <col min="28" max="16384" width="9" style="12"/>
  </cols>
  <sheetData>
    <row r="1" spans="1:27" ht="46.2" customHeight="1" x14ac:dyDescent="0.35">
      <c r="A1" s="41" t="s">
        <v>0</v>
      </c>
      <c r="B1" s="41"/>
      <c r="C1" s="41"/>
      <c r="D1" s="41"/>
      <c r="E1" s="41"/>
      <c r="F1" s="41"/>
      <c r="G1" s="41"/>
      <c r="H1" s="41"/>
      <c r="I1" s="41"/>
      <c r="J1" s="41"/>
      <c r="K1" s="41"/>
      <c r="L1" s="41"/>
      <c r="M1" s="41"/>
      <c r="N1" s="41"/>
      <c r="O1" s="41"/>
      <c r="P1" s="41"/>
      <c r="Q1" s="41"/>
      <c r="R1" s="41"/>
      <c r="S1" s="41"/>
      <c r="T1" s="41"/>
      <c r="U1" s="41"/>
      <c r="V1" s="41"/>
      <c r="W1" s="41"/>
      <c r="X1" s="41"/>
      <c r="Y1" s="41"/>
      <c r="Z1" s="41"/>
      <c r="AA1" s="41"/>
    </row>
    <row r="2" spans="1:27" ht="46.2" customHeight="1" x14ac:dyDescent="0.35">
      <c r="B2" s="13"/>
      <c r="C2" s="14"/>
      <c r="D2" s="15" t="s">
        <v>1</v>
      </c>
      <c r="E2" s="13"/>
      <c r="F2" s="13"/>
      <c r="G2" s="13"/>
      <c r="H2" s="13"/>
      <c r="I2" s="13"/>
      <c r="J2" s="42" t="s">
        <v>2</v>
      </c>
      <c r="K2" s="42"/>
      <c r="L2" s="42"/>
      <c r="M2" s="42"/>
      <c r="N2" s="42"/>
      <c r="O2" s="42"/>
      <c r="P2" s="42"/>
      <c r="Q2" s="42"/>
      <c r="R2" s="13"/>
      <c r="S2" s="13"/>
      <c r="T2" s="13"/>
      <c r="U2" s="13"/>
      <c r="V2" s="13"/>
      <c r="W2" s="13"/>
      <c r="X2" s="13"/>
      <c r="Y2" s="13"/>
      <c r="Z2" s="13"/>
    </row>
    <row r="3" spans="1:27" ht="46.2" customHeight="1" x14ac:dyDescent="0.35">
      <c r="B3" s="13"/>
      <c r="C3" s="16"/>
      <c r="D3" s="15" t="s">
        <v>3</v>
      </c>
      <c r="E3" s="13"/>
      <c r="F3" s="13"/>
      <c r="G3" s="13"/>
      <c r="H3" s="13"/>
      <c r="I3" s="13"/>
      <c r="J3" s="42"/>
      <c r="K3" s="42"/>
      <c r="L3" s="42"/>
      <c r="M3" s="42"/>
      <c r="N3" s="42"/>
      <c r="O3" s="42"/>
      <c r="P3" s="42"/>
      <c r="Q3" s="42"/>
      <c r="R3" s="13"/>
      <c r="S3" s="13"/>
      <c r="T3" s="13"/>
      <c r="U3" s="13"/>
      <c r="V3" s="13"/>
      <c r="W3" s="13"/>
      <c r="X3" s="13"/>
      <c r="Y3" s="13"/>
      <c r="Z3" s="13"/>
    </row>
    <row r="4" spans="1:27" ht="46.2" customHeight="1" x14ac:dyDescent="0.35">
      <c r="B4" s="13"/>
      <c r="C4" s="17"/>
      <c r="D4" s="15" t="s">
        <v>4</v>
      </c>
      <c r="E4" s="13"/>
      <c r="F4" s="13"/>
      <c r="G4" s="13"/>
      <c r="H4" s="13"/>
      <c r="I4" s="13"/>
      <c r="J4" s="42"/>
      <c r="K4" s="42"/>
      <c r="L4" s="42"/>
      <c r="M4" s="42"/>
      <c r="N4" s="42"/>
      <c r="O4" s="42"/>
      <c r="P4" s="42"/>
      <c r="Q4" s="42"/>
      <c r="R4" s="13"/>
      <c r="S4" s="13"/>
      <c r="T4" s="13"/>
      <c r="U4" s="13"/>
      <c r="V4" s="13"/>
      <c r="W4" s="13"/>
      <c r="X4" s="13"/>
      <c r="Y4" s="13"/>
      <c r="Z4" s="13"/>
    </row>
    <row r="5" spans="1:27" ht="46.2" customHeight="1" x14ac:dyDescent="0.35">
      <c r="B5" s="13"/>
      <c r="C5" s="13"/>
      <c r="D5" s="13"/>
      <c r="E5" s="13"/>
      <c r="F5" s="13"/>
      <c r="G5" s="13"/>
      <c r="H5" s="13"/>
      <c r="I5" s="13"/>
      <c r="J5" s="42"/>
      <c r="K5" s="42"/>
      <c r="L5" s="42"/>
      <c r="M5" s="42"/>
      <c r="N5" s="42"/>
      <c r="O5" s="42"/>
      <c r="P5" s="42"/>
      <c r="Q5" s="42"/>
      <c r="R5" s="13"/>
      <c r="S5" s="13"/>
      <c r="T5" s="13"/>
      <c r="U5" s="13"/>
      <c r="V5" s="13"/>
      <c r="W5" s="13"/>
      <c r="X5" s="13"/>
      <c r="Y5" s="13"/>
      <c r="Z5" s="13"/>
    </row>
    <row r="6" spans="1:27" s="19" customFormat="1" ht="46.2" customHeight="1" x14ac:dyDescent="0.35">
      <c r="B6" s="43"/>
      <c r="C6" s="44"/>
      <c r="D6" s="44"/>
      <c r="E6" s="44"/>
      <c r="F6" s="44"/>
      <c r="G6" s="44"/>
      <c r="H6" s="44"/>
      <c r="I6" s="44"/>
      <c r="J6" s="44"/>
      <c r="K6" s="44"/>
      <c r="L6" s="44"/>
      <c r="M6" s="44"/>
      <c r="N6" s="44"/>
      <c r="O6" s="44"/>
      <c r="P6" s="44"/>
      <c r="Q6" s="44"/>
      <c r="R6" s="44"/>
      <c r="S6" s="44"/>
      <c r="T6" s="44"/>
      <c r="U6" s="44"/>
      <c r="V6" s="44"/>
      <c r="W6" s="44"/>
      <c r="X6" s="44"/>
      <c r="Y6" s="45"/>
      <c r="Z6" s="27"/>
      <c r="AA6" s="18"/>
    </row>
    <row r="7" spans="1:27" ht="46.2" customHeight="1" x14ac:dyDescent="0.35">
      <c r="A7" s="40" t="s">
        <v>5</v>
      </c>
      <c r="B7" s="40" t="s">
        <v>6</v>
      </c>
      <c r="C7" s="40" t="s">
        <v>7</v>
      </c>
      <c r="D7" s="40"/>
      <c r="E7" s="40"/>
      <c r="F7" s="40"/>
      <c r="G7" s="40"/>
      <c r="H7" s="40" t="s">
        <v>8</v>
      </c>
      <c r="I7" s="40"/>
      <c r="J7" s="40"/>
      <c r="K7" s="40"/>
      <c r="L7" s="40"/>
      <c r="M7" s="40" t="s">
        <v>9</v>
      </c>
      <c r="N7" s="40"/>
      <c r="O7" s="40"/>
      <c r="P7" s="40"/>
      <c r="Q7" s="40"/>
      <c r="R7" s="40" t="s">
        <v>10</v>
      </c>
      <c r="S7" s="40"/>
      <c r="T7" s="40"/>
      <c r="U7" s="40"/>
      <c r="V7" s="40"/>
      <c r="W7" s="40" t="s">
        <v>11</v>
      </c>
      <c r="X7" s="40"/>
      <c r="Y7" s="40"/>
      <c r="Z7" s="40"/>
      <c r="AA7" s="40"/>
    </row>
    <row r="8" spans="1:27" ht="46.2" customHeight="1" x14ac:dyDescent="0.35">
      <c r="A8" s="40"/>
      <c r="B8" s="40"/>
      <c r="C8" s="25" t="s">
        <v>12</v>
      </c>
      <c r="D8" s="25" t="s">
        <v>13</v>
      </c>
      <c r="E8" s="25" t="s">
        <v>14</v>
      </c>
      <c r="F8" s="25" t="s">
        <v>15</v>
      </c>
      <c r="G8" s="28" t="s">
        <v>16</v>
      </c>
      <c r="H8" s="25" t="s">
        <v>12</v>
      </c>
      <c r="I8" s="25" t="s">
        <v>13</v>
      </c>
      <c r="J8" s="25" t="s">
        <v>14</v>
      </c>
      <c r="K8" s="25" t="s">
        <v>15</v>
      </c>
      <c r="L8" s="28" t="s">
        <v>16</v>
      </c>
      <c r="M8" s="25" t="s">
        <v>12</v>
      </c>
      <c r="N8" s="25" t="s">
        <v>13</v>
      </c>
      <c r="O8" s="25" t="s">
        <v>14</v>
      </c>
      <c r="P8" s="25" t="s">
        <v>15</v>
      </c>
      <c r="Q8" s="28" t="s">
        <v>16</v>
      </c>
      <c r="R8" s="25" t="s">
        <v>12</v>
      </c>
      <c r="S8" s="25" t="s">
        <v>13</v>
      </c>
      <c r="T8" s="25" t="s">
        <v>14</v>
      </c>
      <c r="U8" s="25" t="s">
        <v>15</v>
      </c>
      <c r="V8" s="28" t="s">
        <v>16</v>
      </c>
      <c r="W8" s="25" t="s">
        <v>12</v>
      </c>
      <c r="X8" s="25" t="s">
        <v>13</v>
      </c>
      <c r="Y8" s="25" t="s">
        <v>14</v>
      </c>
      <c r="Z8" s="25" t="s">
        <v>15</v>
      </c>
      <c r="AA8" s="28" t="s">
        <v>16</v>
      </c>
    </row>
    <row r="9" spans="1:27" ht="46.2" customHeight="1" x14ac:dyDescent="0.35">
      <c r="A9" s="20">
        <v>1</v>
      </c>
      <c r="B9" s="21" t="s">
        <v>17</v>
      </c>
      <c r="C9" s="88" t="s">
        <v>18</v>
      </c>
      <c r="D9" s="23" t="s">
        <v>19</v>
      </c>
      <c r="E9" s="21" t="s">
        <v>20</v>
      </c>
      <c r="F9" s="30">
        <v>46357</v>
      </c>
      <c r="G9" s="21"/>
      <c r="H9" s="88" t="s">
        <v>21</v>
      </c>
      <c r="I9" s="23" t="s">
        <v>22</v>
      </c>
      <c r="J9" s="21" t="s">
        <v>23</v>
      </c>
      <c r="K9" s="21"/>
      <c r="L9" s="21"/>
      <c r="M9" s="21"/>
      <c r="N9" s="21"/>
      <c r="O9" s="21"/>
      <c r="P9" s="21"/>
      <c r="Q9" s="21"/>
      <c r="R9" s="21"/>
      <c r="S9" s="21"/>
      <c r="T9" s="21"/>
      <c r="U9" s="21"/>
      <c r="V9" s="21"/>
      <c r="W9" s="21"/>
      <c r="X9" s="21"/>
      <c r="Y9" s="21"/>
      <c r="Z9" s="21"/>
      <c r="AA9" s="21"/>
    </row>
    <row r="10" spans="1:27" ht="46.2" customHeight="1" x14ac:dyDescent="0.35">
      <c r="A10" s="20">
        <v>2</v>
      </c>
      <c r="B10" s="21" t="s">
        <v>24</v>
      </c>
      <c r="C10" s="21" t="s">
        <v>25</v>
      </c>
      <c r="D10" s="22" t="s">
        <v>26</v>
      </c>
      <c r="E10" s="31" t="s">
        <v>27</v>
      </c>
      <c r="F10" s="30">
        <v>46235</v>
      </c>
      <c r="G10" s="21"/>
      <c r="H10" s="21" t="s">
        <v>28</v>
      </c>
      <c r="I10" s="22" t="s">
        <v>29</v>
      </c>
      <c r="J10" s="31" t="s">
        <v>30</v>
      </c>
      <c r="K10" s="30">
        <v>46235</v>
      </c>
      <c r="L10" s="21" t="s">
        <v>31</v>
      </c>
      <c r="M10" s="21"/>
      <c r="N10" s="21"/>
      <c r="O10" s="21"/>
      <c r="P10" s="21"/>
      <c r="Q10" s="21"/>
      <c r="R10" s="21"/>
      <c r="S10" s="21"/>
      <c r="T10" s="21"/>
      <c r="U10" s="21"/>
      <c r="V10" s="21"/>
      <c r="W10" s="21"/>
      <c r="X10" s="21"/>
      <c r="Y10" s="21"/>
      <c r="Z10" s="21"/>
      <c r="AA10" s="21"/>
    </row>
    <row r="11" spans="1:27" ht="46.2" customHeight="1" x14ac:dyDescent="0.35">
      <c r="A11" s="20">
        <v>3</v>
      </c>
      <c r="B11" s="21" t="s">
        <v>32</v>
      </c>
      <c r="C11" s="36" t="s">
        <v>33</v>
      </c>
      <c r="D11" s="34" t="s">
        <v>34</v>
      </c>
      <c r="E11" s="32" t="s">
        <v>35</v>
      </c>
      <c r="F11" s="33" t="s">
        <v>36</v>
      </c>
      <c r="G11" s="32"/>
      <c r="H11" s="36" t="s">
        <v>37</v>
      </c>
      <c r="I11" s="34" t="s">
        <v>38</v>
      </c>
      <c r="J11" s="36" t="s">
        <v>39</v>
      </c>
      <c r="K11" s="32" t="s">
        <v>40</v>
      </c>
      <c r="L11" s="32"/>
      <c r="M11" s="21"/>
      <c r="N11" s="21" t="s">
        <v>41</v>
      </c>
      <c r="O11" s="21"/>
      <c r="P11" s="21"/>
      <c r="Q11" s="21"/>
      <c r="R11" s="21"/>
      <c r="S11" s="21"/>
      <c r="T11" s="21"/>
      <c r="U11" s="21"/>
      <c r="V11" s="21"/>
      <c r="W11" s="21"/>
      <c r="X11" s="21"/>
      <c r="Y11" s="21"/>
      <c r="Z11" s="21"/>
      <c r="AA11" s="21"/>
    </row>
    <row r="12" spans="1:27" ht="46.2" customHeight="1" x14ac:dyDescent="0.35">
      <c r="A12" s="20">
        <v>4</v>
      </c>
      <c r="B12" s="21" t="s">
        <v>42</v>
      </c>
      <c r="C12" s="21" t="s">
        <v>43</v>
      </c>
      <c r="D12" s="23" t="s">
        <v>44</v>
      </c>
      <c r="E12" s="21" t="s">
        <v>45</v>
      </c>
      <c r="F12" s="30">
        <v>46204</v>
      </c>
      <c r="G12" s="21" t="s">
        <v>31</v>
      </c>
      <c r="H12" s="21"/>
      <c r="I12" s="22"/>
      <c r="J12" s="21"/>
      <c r="K12" s="21"/>
      <c r="L12" s="21"/>
      <c r="M12" s="21"/>
      <c r="N12" s="21"/>
      <c r="O12" s="21"/>
      <c r="P12" s="21"/>
      <c r="Q12" s="21"/>
      <c r="R12" s="21"/>
      <c r="S12" s="21"/>
      <c r="T12" s="21"/>
      <c r="U12" s="21"/>
      <c r="V12" s="21"/>
      <c r="W12" s="21"/>
      <c r="X12" s="21"/>
      <c r="Y12" s="21"/>
      <c r="Z12" s="21"/>
      <c r="AA12" s="21"/>
    </row>
    <row r="13" spans="1:27" ht="46.2" customHeight="1" x14ac:dyDescent="0.35">
      <c r="A13" s="20">
        <v>5</v>
      </c>
      <c r="B13" s="21" t="s">
        <v>46</v>
      </c>
      <c r="C13" s="32" t="s">
        <v>47</v>
      </c>
      <c r="D13" s="35" t="s">
        <v>48</v>
      </c>
      <c r="E13" s="32" t="s">
        <v>49</v>
      </c>
      <c r="F13" s="35" t="s">
        <v>50</v>
      </c>
      <c r="G13" s="32" t="s">
        <v>51</v>
      </c>
      <c r="H13" s="32" t="s">
        <v>52</v>
      </c>
      <c r="I13" s="35" t="s">
        <v>48</v>
      </c>
      <c r="J13" s="32" t="s">
        <v>53</v>
      </c>
      <c r="K13" s="35" t="s">
        <v>54</v>
      </c>
      <c r="L13" s="32" t="s">
        <v>51</v>
      </c>
      <c r="M13" s="21"/>
      <c r="N13" s="21"/>
      <c r="O13" s="21"/>
      <c r="P13" s="21"/>
      <c r="Q13" s="21"/>
      <c r="R13" s="21"/>
      <c r="S13" s="21"/>
      <c r="T13" s="21"/>
      <c r="U13" s="21"/>
      <c r="V13" s="21"/>
      <c r="W13" s="21"/>
      <c r="X13" s="21"/>
      <c r="Y13" s="21"/>
      <c r="Z13" s="21"/>
      <c r="AA13" s="21"/>
    </row>
    <row r="14" spans="1:27" ht="46.2" customHeight="1" x14ac:dyDescent="0.35">
      <c r="A14" s="20">
        <v>6</v>
      </c>
      <c r="B14" s="21" t="s">
        <v>55</v>
      </c>
      <c r="C14" s="32" t="s">
        <v>56</v>
      </c>
      <c r="D14" s="35" t="s">
        <v>57</v>
      </c>
      <c r="E14" s="34" t="s">
        <v>58</v>
      </c>
      <c r="F14" s="32"/>
      <c r="G14" s="32" t="s">
        <v>51</v>
      </c>
      <c r="H14" s="88" t="s">
        <v>59</v>
      </c>
      <c r="I14" s="35" t="s">
        <v>60</v>
      </c>
      <c r="J14" s="35" t="s">
        <v>61</v>
      </c>
      <c r="K14" s="32"/>
      <c r="L14" s="32" t="s">
        <v>51</v>
      </c>
      <c r="M14" s="21"/>
      <c r="N14" s="21"/>
      <c r="O14" s="21"/>
      <c r="P14" s="21"/>
      <c r="Q14" s="21"/>
      <c r="R14" s="21"/>
      <c r="S14" s="21"/>
      <c r="T14" s="21"/>
      <c r="U14" s="21"/>
      <c r="V14" s="21"/>
      <c r="W14" s="21"/>
      <c r="X14" s="21"/>
      <c r="Y14" s="21"/>
      <c r="Z14" s="21"/>
      <c r="AA14" s="21"/>
    </row>
    <row r="15" spans="1:27" ht="46.2" customHeight="1" x14ac:dyDescent="0.35">
      <c r="A15" s="20">
        <v>7</v>
      </c>
      <c r="B15" s="21" t="s">
        <v>62</v>
      </c>
      <c r="C15" s="21" t="s">
        <v>63</v>
      </c>
      <c r="D15" s="21" t="s">
        <v>64</v>
      </c>
      <c r="E15" s="21" t="s">
        <v>65</v>
      </c>
      <c r="F15" s="21" t="s">
        <v>66</v>
      </c>
      <c r="G15" s="21"/>
      <c r="H15" s="86" t="s">
        <v>67</v>
      </c>
      <c r="I15" s="86" t="s">
        <v>68</v>
      </c>
      <c r="J15" s="86" t="s">
        <v>69</v>
      </c>
      <c r="K15" s="87">
        <v>46028</v>
      </c>
      <c r="L15" s="86"/>
      <c r="M15" s="21"/>
      <c r="N15" s="21"/>
      <c r="O15" s="21"/>
      <c r="P15" s="21"/>
      <c r="Q15" s="21"/>
      <c r="R15" s="21"/>
      <c r="S15" s="21"/>
      <c r="T15" s="21"/>
      <c r="U15" s="21"/>
      <c r="V15" s="21"/>
      <c r="W15" s="21"/>
      <c r="X15" s="21"/>
      <c r="Y15" s="21"/>
      <c r="Z15" s="21"/>
      <c r="AA15" s="21"/>
    </row>
    <row r="16" spans="1:27" ht="46.2" customHeight="1" x14ac:dyDescent="0.35">
      <c r="A16" s="20">
        <v>8</v>
      </c>
      <c r="B16" s="21" t="s">
        <v>70</v>
      </c>
      <c r="C16" s="32" t="s">
        <v>71</v>
      </c>
      <c r="D16" s="34" t="s">
        <v>72</v>
      </c>
      <c r="E16" s="32" t="s">
        <v>73</v>
      </c>
      <c r="F16" s="32"/>
      <c r="G16" s="32" t="s">
        <v>51</v>
      </c>
      <c r="H16" s="32" t="s">
        <v>74</v>
      </c>
      <c r="I16" s="34" t="s">
        <v>75</v>
      </c>
      <c r="J16" s="32" t="s">
        <v>76</v>
      </c>
      <c r="K16" s="35"/>
      <c r="L16" s="32" t="s">
        <v>51</v>
      </c>
      <c r="M16" s="21"/>
      <c r="N16" s="21"/>
      <c r="O16" s="21"/>
      <c r="P16" s="21"/>
      <c r="Q16" s="21"/>
      <c r="R16" s="21"/>
      <c r="S16" s="21"/>
      <c r="T16" s="21"/>
      <c r="U16" s="21"/>
      <c r="V16" s="21"/>
      <c r="W16" s="21"/>
      <c r="X16" s="21"/>
      <c r="Y16" s="21"/>
      <c r="Z16" s="21"/>
      <c r="AA16" s="21"/>
    </row>
    <row r="17" spans="1:27" ht="46.2" customHeight="1" x14ac:dyDescent="0.35">
      <c r="A17" s="20">
        <v>9</v>
      </c>
      <c r="B17" s="21" t="s">
        <v>77</v>
      </c>
      <c r="C17" s="21" t="s">
        <v>78</v>
      </c>
      <c r="D17" s="22" t="s">
        <v>79</v>
      </c>
      <c r="E17" s="21" t="s">
        <v>80</v>
      </c>
      <c r="F17" s="21" t="s">
        <v>81</v>
      </c>
      <c r="G17" s="21"/>
      <c r="H17" s="32" t="s">
        <v>82</v>
      </c>
      <c r="I17" s="32" t="s">
        <v>83</v>
      </c>
      <c r="J17" s="32" t="s">
        <v>84</v>
      </c>
      <c r="K17" s="32"/>
      <c r="L17" s="32" t="s">
        <v>51</v>
      </c>
      <c r="M17" s="21"/>
      <c r="N17" s="21"/>
      <c r="O17" s="21"/>
      <c r="P17" s="21"/>
      <c r="Q17" s="21"/>
      <c r="R17" s="21"/>
      <c r="S17" s="21"/>
      <c r="T17" s="21"/>
      <c r="U17" s="21"/>
      <c r="V17" s="21"/>
      <c r="W17" s="21"/>
      <c r="X17" s="21"/>
      <c r="Y17" s="21"/>
      <c r="Z17" s="21"/>
      <c r="AA17" s="21"/>
    </row>
    <row r="18" spans="1:27" ht="46.2" customHeight="1" x14ac:dyDescent="0.35">
      <c r="A18" s="20">
        <v>10</v>
      </c>
      <c r="B18" s="29" t="s">
        <v>85</v>
      </c>
      <c r="C18" s="29" t="s">
        <v>86</v>
      </c>
      <c r="D18" s="22" t="s">
        <v>87</v>
      </c>
      <c r="E18" s="21" t="s">
        <v>88</v>
      </c>
      <c r="F18" s="21" t="s">
        <v>89</v>
      </c>
      <c r="G18" s="21"/>
      <c r="H18" s="88" t="s">
        <v>90</v>
      </c>
      <c r="I18" s="21" t="s">
        <v>91</v>
      </c>
      <c r="J18" s="21" t="s">
        <v>92</v>
      </c>
      <c r="K18" s="21" t="s">
        <v>89</v>
      </c>
      <c r="L18" s="21"/>
      <c r="M18" s="21"/>
      <c r="N18" s="21"/>
      <c r="O18" s="21"/>
      <c r="P18" s="21"/>
      <c r="Q18" s="21"/>
      <c r="R18" s="21"/>
      <c r="S18" s="21"/>
      <c r="T18" s="21"/>
      <c r="U18" s="21"/>
      <c r="V18" s="21"/>
      <c r="W18" s="21"/>
      <c r="X18" s="21"/>
      <c r="Y18" s="21"/>
      <c r="Z18" s="21"/>
      <c r="AA18" s="21"/>
    </row>
    <row r="19" spans="1:27" ht="46.2" customHeight="1" x14ac:dyDescent="0.35">
      <c r="A19" s="20">
        <v>11</v>
      </c>
      <c r="B19" s="21" t="s">
        <v>93</v>
      </c>
      <c r="C19" s="88" t="s">
        <v>94</v>
      </c>
      <c r="D19" s="35" t="s">
        <v>95</v>
      </c>
      <c r="E19" s="36" t="s">
        <v>96</v>
      </c>
      <c r="F19" s="32"/>
      <c r="G19" s="32"/>
      <c r="H19" s="24" t="s">
        <v>97</v>
      </c>
      <c r="I19" s="24" t="s">
        <v>98</v>
      </c>
      <c r="J19" s="24" t="s">
        <v>99</v>
      </c>
      <c r="K19" s="21" t="s">
        <v>100</v>
      </c>
      <c r="L19" s="21"/>
      <c r="M19" s="21"/>
      <c r="N19" s="21"/>
      <c r="O19" s="21"/>
      <c r="P19" s="21"/>
      <c r="Q19" s="21"/>
      <c r="R19" s="21"/>
      <c r="S19" s="21"/>
      <c r="T19" s="21"/>
      <c r="U19" s="21"/>
      <c r="V19" s="21"/>
      <c r="W19" s="21"/>
      <c r="X19" s="21"/>
      <c r="Y19" s="21"/>
      <c r="Z19" s="21"/>
      <c r="AA19" s="21"/>
    </row>
    <row r="20" spans="1:27" ht="46.2" customHeight="1" x14ac:dyDescent="0.35">
      <c r="A20" s="20">
        <v>12</v>
      </c>
      <c r="B20" s="21" t="s">
        <v>101</v>
      </c>
      <c r="C20" s="88" t="s">
        <v>102</v>
      </c>
      <c r="D20" s="34" t="s">
        <v>103</v>
      </c>
      <c r="E20" s="36" t="s">
        <v>104</v>
      </c>
      <c r="F20" s="32"/>
      <c r="G20" s="32"/>
      <c r="H20" s="21" t="s">
        <v>105</v>
      </c>
      <c r="I20" s="24" t="s">
        <v>106</v>
      </c>
      <c r="J20" s="37" t="s">
        <v>107</v>
      </c>
      <c r="K20" s="21" t="s">
        <v>108</v>
      </c>
      <c r="L20" s="21" t="s">
        <v>31</v>
      </c>
      <c r="M20" s="21"/>
      <c r="N20" s="21"/>
      <c r="O20" s="21"/>
      <c r="P20" s="21"/>
      <c r="Q20" s="21"/>
      <c r="R20" s="21"/>
      <c r="S20" s="21"/>
      <c r="T20" s="21"/>
      <c r="U20" s="21"/>
      <c r="V20" s="21"/>
      <c r="W20" s="21"/>
      <c r="X20" s="21"/>
      <c r="Y20" s="21"/>
      <c r="Z20" s="21"/>
      <c r="AA20" s="21"/>
    </row>
    <row r="21" spans="1:27" ht="46.2" customHeight="1" x14ac:dyDescent="0.35">
      <c r="A21" s="20">
        <v>13</v>
      </c>
      <c r="B21" s="21" t="s">
        <v>109</v>
      </c>
      <c r="C21" s="21"/>
      <c r="D21" s="22"/>
      <c r="E21" s="21"/>
      <c r="F21" s="21"/>
      <c r="G21" s="21"/>
      <c r="H21" s="21"/>
      <c r="I21" s="21"/>
      <c r="J21" s="21"/>
      <c r="K21" s="21"/>
      <c r="L21" s="21"/>
      <c r="M21" s="21"/>
      <c r="N21" s="21"/>
      <c r="O21" s="21"/>
      <c r="P21" s="21"/>
      <c r="Q21" s="21"/>
      <c r="R21" s="21"/>
      <c r="S21" s="21"/>
      <c r="T21" s="21"/>
      <c r="U21" s="21"/>
      <c r="V21" s="21"/>
      <c r="W21" s="21"/>
      <c r="X21" s="21"/>
      <c r="Y21" s="21"/>
      <c r="Z21" s="21"/>
      <c r="AA21" s="21"/>
    </row>
    <row r="22" spans="1:27" ht="46.2" customHeight="1" x14ac:dyDescent="0.35">
      <c r="A22" s="20">
        <v>14</v>
      </c>
      <c r="B22" s="21" t="s">
        <v>110</v>
      </c>
      <c r="C22" s="21"/>
      <c r="D22" s="22"/>
      <c r="E22" s="21"/>
      <c r="F22" s="21"/>
      <c r="G22" s="21"/>
      <c r="H22" s="21"/>
      <c r="I22" s="21"/>
      <c r="J22" s="21"/>
      <c r="K22" s="21"/>
      <c r="L22" s="21"/>
      <c r="M22" s="21"/>
      <c r="N22" s="21"/>
      <c r="O22" s="21"/>
      <c r="P22" s="21"/>
      <c r="Q22" s="21"/>
      <c r="R22" s="21"/>
      <c r="S22" s="21"/>
      <c r="T22" s="21"/>
      <c r="U22" s="21"/>
      <c r="V22" s="21"/>
      <c r="W22" s="21"/>
      <c r="X22" s="21"/>
      <c r="Y22" s="21"/>
      <c r="Z22" s="21"/>
      <c r="AA22" s="21"/>
    </row>
  </sheetData>
  <mergeCells count="10">
    <mergeCell ref="R7:V7"/>
    <mergeCell ref="W7:AA7"/>
    <mergeCell ref="A1:AA1"/>
    <mergeCell ref="J2:Q5"/>
    <mergeCell ref="C7:G7"/>
    <mergeCell ref="H7:L7"/>
    <mergeCell ref="M7:Q7"/>
    <mergeCell ref="A7:A8"/>
    <mergeCell ref="B6:Y6"/>
    <mergeCell ref="B7:B8"/>
  </mergeCells>
  <phoneticPr fontId="1" type="noConversion"/>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BC17F-08E5-417E-BD81-1170C9565CA4}">
  <dimension ref="A1:V40"/>
  <sheetViews>
    <sheetView topLeftCell="A5" zoomScale="85" zoomScaleNormal="85" workbookViewId="0">
      <selection activeCell="L25" sqref="L25:S37"/>
    </sheetView>
  </sheetViews>
  <sheetFormatPr defaultRowHeight="14.4" x14ac:dyDescent="0.3"/>
  <cols>
    <col min="22" max="22" width="14.21875" customWidth="1"/>
  </cols>
  <sheetData>
    <row r="1" spans="1:22" x14ac:dyDescent="0.3">
      <c r="A1" s="49" t="s">
        <v>16</v>
      </c>
      <c r="B1" s="49"/>
      <c r="C1" s="49"/>
      <c r="D1" s="49"/>
      <c r="E1" s="49"/>
      <c r="F1" s="49"/>
      <c r="G1" s="49"/>
      <c r="H1" s="49"/>
      <c r="I1" s="49"/>
      <c r="J1" s="49"/>
      <c r="K1" s="49"/>
      <c r="L1" s="49"/>
      <c r="M1" s="49"/>
      <c r="N1" s="49"/>
      <c r="O1" s="49"/>
      <c r="P1" s="49"/>
      <c r="Q1" s="49"/>
      <c r="R1" s="49"/>
      <c r="S1" s="49"/>
    </row>
    <row r="2" spans="1:22" x14ac:dyDescent="0.3">
      <c r="A2" s="49"/>
      <c r="B2" s="49"/>
      <c r="C2" s="49"/>
      <c r="D2" s="49"/>
      <c r="E2" s="49"/>
      <c r="F2" s="49"/>
      <c r="G2" s="49"/>
      <c r="H2" s="49"/>
      <c r="I2" s="49"/>
      <c r="J2" s="49"/>
      <c r="K2" s="49"/>
      <c r="L2" s="49"/>
      <c r="M2" s="49"/>
      <c r="N2" s="49"/>
      <c r="O2" s="49"/>
      <c r="P2" s="49"/>
      <c r="Q2" s="49"/>
      <c r="R2" s="49"/>
      <c r="S2" s="49"/>
    </row>
    <row r="3" spans="1:22" ht="31.8" customHeight="1" x14ac:dyDescent="0.3">
      <c r="A3" s="48" t="s">
        <v>111</v>
      </c>
      <c r="B3" s="48"/>
      <c r="C3" s="48"/>
      <c r="D3" s="48" t="s">
        <v>112</v>
      </c>
      <c r="E3" s="48"/>
      <c r="F3" s="48"/>
      <c r="G3" s="48"/>
      <c r="H3" s="48"/>
      <c r="I3" s="48"/>
      <c r="J3" s="48"/>
      <c r="K3" s="48"/>
      <c r="L3" s="48" t="s">
        <v>113</v>
      </c>
      <c r="M3" s="48"/>
      <c r="N3" s="48"/>
      <c r="O3" s="48"/>
      <c r="P3" s="48"/>
      <c r="Q3" s="48"/>
      <c r="R3" s="48"/>
      <c r="S3" s="48"/>
      <c r="T3" s="46" t="s">
        <v>114</v>
      </c>
      <c r="U3" s="46"/>
      <c r="V3" t="s">
        <v>174</v>
      </c>
    </row>
    <row r="4" spans="1:22" ht="15" customHeight="1" x14ac:dyDescent="0.3">
      <c r="A4" s="59" t="s">
        <v>105</v>
      </c>
      <c r="B4" s="60"/>
      <c r="C4" s="61"/>
      <c r="D4" s="59" t="s">
        <v>106</v>
      </c>
      <c r="E4" s="60"/>
      <c r="F4" s="60"/>
      <c r="G4" s="60"/>
      <c r="H4" s="60"/>
      <c r="I4" s="60"/>
      <c r="J4" s="60"/>
      <c r="K4" s="61"/>
      <c r="L4" s="71" t="s">
        <v>173</v>
      </c>
      <c r="M4" s="72"/>
      <c r="N4" s="72"/>
      <c r="O4" s="72"/>
      <c r="P4" s="72"/>
      <c r="Q4" s="72"/>
      <c r="R4" s="72"/>
      <c r="S4" s="73"/>
      <c r="T4" s="80" t="s">
        <v>171</v>
      </c>
      <c r="U4" s="81"/>
    </row>
    <row r="5" spans="1:22" x14ac:dyDescent="0.3">
      <c r="A5" s="62"/>
      <c r="B5" s="63"/>
      <c r="C5" s="64"/>
      <c r="D5" s="62"/>
      <c r="E5" s="63"/>
      <c r="F5" s="63"/>
      <c r="G5" s="63"/>
      <c r="H5" s="63"/>
      <c r="I5" s="63"/>
      <c r="J5" s="63"/>
      <c r="K5" s="64"/>
      <c r="L5" s="74"/>
      <c r="M5" s="75"/>
      <c r="N5" s="75"/>
      <c r="O5" s="75"/>
      <c r="P5" s="75"/>
      <c r="Q5" s="75"/>
      <c r="R5" s="75"/>
      <c r="S5" s="76"/>
      <c r="T5" s="82"/>
      <c r="U5" s="83"/>
    </row>
    <row r="6" spans="1:22" x14ac:dyDescent="0.3">
      <c r="A6" s="62"/>
      <c r="B6" s="63"/>
      <c r="C6" s="64"/>
      <c r="D6" s="62"/>
      <c r="E6" s="63"/>
      <c r="F6" s="63"/>
      <c r="G6" s="63"/>
      <c r="H6" s="63"/>
      <c r="I6" s="63"/>
      <c r="J6" s="63"/>
      <c r="K6" s="64"/>
      <c r="L6" s="74"/>
      <c r="M6" s="75"/>
      <c r="N6" s="75"/>
      <c r="O6" s="75"/>
      <c r="P6" s="75"/>
      <c r="Q6" s="75"/>
      <c r="R6" s="75"/>
      <c r="S6" s="76"/>
      <c r="T6" s="82"/>
      <c r="U6" s="83"/>
    </row>
    <row r="7" spans="1:22" x14ac:dyDescent="0.3">
      <c r="A7" s="62"/>
      <c r="B7" s="63"/>
      <c r="C7" s="64"/>
      <c r="D7" s="62"/>
      <c r="E7" s="63"/>
      <c r="F7" s="63"/>
      <c r="G7" s="63"/>
      <c r="H7" s="63"/>
      <c r="I7" s="63"/>
      <c r="J7" s="63"/>
      <c r="K7" s="64"/>
      <c r="L7" s="74"/>
      <c r="M7" s="75"/>
      <c r="N7" s="75"/>
      <c r="O7" s="75"/>
      <c r="P7" s="75"/>
      <c r="Q7" s="75"/>
      <c r="R7" s="75"/>
      <c r="S7" s="76"/>
      <c r="T7" s="82"/>
      <c r="U7" s="83"/>
    </row>
    <row r="8" spans="1:22" x14ac:dyDescent="0.3">
      <c r="A8" s="62"/>
      <c r="B8" s="63"/>
      <c r="C8" s="64"/>
      <c r="D8" s="62"/>
      <c r="E8" s="63"/>
      <c r="F8" s="63"/>
      <c r="G8" s="63"/>
      <c r="H8" s="63"/>
      <c r="I8" s="63"/>
      <c r="J8" s="63"/>
      <c r="K8" s="64"/>
      <c r="L8" s="74"/>
      <c r="M8" s="75"/>
      <c r="N8" s="75"/>
      <c r="O8" s="75"/>
      <c r="P8" s="75"/>
      <c r="Q8" s="75"/>
      <c r="R8" s="75"/>
      <c r="S8" s="76"/>
      <c r="T8" s="82"/>
      <c r="U8" s="83"/>
    </row>
    <row r="9" spans="1:22" x14ac:dyDescent="0.3">
      <c r="A9" s="62"/>
      <c r="B9" s="63"/>
      <c r="C9" s="64"/>
      <c r="D9" s="62"/>
      <c r="E9" s="63"/>
      <c r="F9" s="63"/>
      <c r="G9" s="63"/>
      <c r="H9" s="63"/>
      <c r="I9" s="63"/>
      <c r="J9" s="63"/>
      <c r="K9" s="64"/>
      <c r="L9" s="74"/>
      <c r="M9" s="75"/>
      <c r="N9" s="75"/>
      <c r="O9" s="75"/>
      <c r="P9" s="75"/>
      <c r="Q9" s="75"/>
      <c r="R9" s="75"/>
      <c r="S9" s="76"/>
      <c r="T9" s="82"/>
      <c r="U9" s="83"/>
    </row>
    <row r="10" spans="1:22" x14ac:dyDescent="0.3">
      <c r="A10" s="62"/>
      <c r="B10" s="63"/>
      <c r="C10" s="64"/>
      <c r="D10" s="62"/>
      <c r="E10" s="63"/>
      <c r="F10" s="63"/>
      <c r="G10" s="63"/>
      <c r="H10" s="63"/>
      <c r="I10" s="63"/>
      <c r="J10" s="63"/>
      <c r="K10" s="64"/>
      <c r="L10" s="74"/>
      <c r="M10" s="75"/>
      <c r="N10" s="75"/>
      <c r="O10" s="75"/>
      <c r="P10" s="75"/>
      <c r="Q10" s="75"/>
      <c r="R10" s="75"/>
      <c r="S10" s="76"/>
      <c r="T10" s="82"/>
      <c r="U10" s="83"/>
    </row>
    <row r="11" spans="1:22" x14ac:dyDescent="0.3">
      <c r="A11" s="62"/>
      <c r="B11" s="63"/>
      <c r="C11" s="64"/>
      <c r="D11" s="62"/>
      <c r="E11" s="63"/>
      <c r="F11" s="63"/>
      <c r="G11" s="63"/>
      <c r="H11" s="63"/>
      <c r="I11" s="63"/>
      <c r="J11" s="63"/>
      <c r="K11" s="64"/>
      <c r="L11" s="74"/>
      <c r="M11" s="75"/>
      <c r="N11" s="75"/>
      <c r="O11" s="75"/>
      <c r="P11" s="75"/>
      <c r="Q11" s="75"/>
      <c r="R11" s="75"/>
      <c r="S11" s="76"/>
      <c r="T11" s="82"/>
      <c r="U11" s="83"/>
    </row>
    <row r="12" spans="1:22" x14ac:dyDescent="0.3">
      <c r="A12" s="62"/>
      <c r="B12" s="63"/>
      <c r="C12" s="64"/>
      <c r="D12" s="62"/>
      <c r="E12" s="63"/>
      <c r="F12" s="63"/>
      <c r="G12" s="63"/>
      <c r="H12" s="63"/>
      <c r="I12" s="63"/>
      <c r="J12" s="63"/>
      <c r="K12" s="64"/>
      <c r="L12" s="74"/>
      <c r="M12" s="75"/>
      <c r="N12" s="75"/>
      <c r="O12" s="75"/>
      <c r="P12" s="75"/>
      <c r="Q12" s="75"/>
      <c r="R12" s="75"/>
      <c r="S12" s="76"/>
      <c r="T12" s="82"/>
      <c r="U12" s="83"/>
    </row>
    <row r="13" spans="1:22" x14ac:dyDescent="0.3">
      <c r="A13" s="68"/>
      <c r="B13" s="69"/>
      <c r="C13" s="70"/>
      <c r="D13" s="65"/>
      <c r="E13" s="66"/>
      <c r="F13" s="66"/>
      <c r="G13" s="66"/>
      <c r="H13" s="66"/>
      <c r="I13" s="66"/>
      <c r="J13" s="66"/>
      <c r="K13" s="67"/>
      <c r="L13" s="77"/>
      <c r="M13" s="78"/>
      <c r="N13" s="78"/>
      <c r="O13" s="78"/>
      <c r="P13" s="78"/>
      <c r="Q13" s="78"/>
      <c r="R13" s="78"/>
      <c r="S13" s="79"/>
      <c r="T13" s="84"/>
      <c r="U13" s="85"/>
    </row>
    <row r="14" spans="1:22" ht="15" customHeight="1" x14ac:dyDescent="0.3">
      <c r="A14" s="46" t="s">
        <v>18</v>
      </c>
      <c r="B14" s="46"/>
      <c r="C14" s="46"/>
      <c r="D14" s="58" t="s">
        <v>115</v>
      </c>
      <c r="E14" s="58"/>
      <c r="F14" s="58"/>
      <c r="G14" s="58"/>
      <c r="H14" s="58"/>
      <c r="I14" s="58"/>
      <c r="J14" s="58"/>
      <c r="K14" s="58"/>
      <c r="L14" s="47" t="s">
        <v>172</v>
      </c>
      <c r="M14" s="47"/>
      <c r="N14" s="47"/>
      <c r="O14" s="47"/>
      <c r="P14" s="47"/>
      <c r="Q14" s="47"/>
      <c r="R14" s="47"/>
      <c r="S14" s="47"/>
      <c r="T14" s="57" t="s">
        <v>171</v>
      </c>
      <c r="U14" s="57"/>
    </row>
    <row r="15" spans="1:22" x14ac:dyDescent="0.3">
      <c r="A15" s="46"/>
      <c r="B15" s="46"/>
      <c r="C15" s="46"/>
      <c r="D15" s="47"/>
      <c r="E15" s="47"/>
      <c r="F15" s="47"/>
      <c r="G15" s="47"/>
      <c r="H15" s="47"/>
      <c r="I15" s="47"/>
      <c r="J15" s="47"/>
      <c r="K15" s="47"/>
      <c r="L15" s="47"/>
      <c r="M15" s="47"/>
      <c r="N15" s="47"/>
      <c r="O15" s="47"/>
      <c r="P15" s="47"/>
      <c r="Q15" s="47"/>
      <c r="R15" s="47"/>
      <c r="S15" s="47"/>
      <c r="T15" s="57"/>
      <c r="U15" s="57"/>
    </row>
    <row r="16" spans="1:22" x14ac:dyDescent="0.3">
      <c r="A16" s="46"/>
      <c r="B16" s="46"/>
      <c r="C16" s="46"/>
      <c r="D16" s="47"/>
      <c r="E16" s="47"/>
      <c r="F16" s="47"/>
      <c r="G16" s="47"/>
      <c r="H16" s="47"/>
      <c r="I16" s="47"/>
      <c r="J16" s="47"/>
      <c r="K16" s="47"/>
      <c r="L16" s="47"/>
      <c r="M16" s="47"/>
      <c r="N16" s="47"/>
      <c r="O16" s="47"/>
      <c r="P16" s="47"/>
      <c r="Q16" s="47"/>
      <c r="R16" s="47"/>
      <c r="S16" s="47"/>
      <c r="T16" s="57"/>
      <c r="U16" s="57"/>
    </row>
    <row r="17" spans="1:21" x14ac:dyDescent="0.3">
      <c r="A17" s="46"/>
      <c r="B17" s="46"/>
      <c r="C17" s="46"/>
      <c r="D17" s="47"/>
      <c r="E17" s="47"/>
      <c r="F17" s="47"/>
      <c r="G17" s="47"/>
      <c r="H17" s="47"/>
      <c r="I17" s="47"/>
      <c r="J17" s="47"/>
      <c r="K17" s="47"/>
      <c r="L17" s="47"/>
      <c r="M17" s="47"/>
      <c r="N17" s="47"/>
      <c r="O17" s="47"/>
      <c r="P17" s="47"/>
      <c r="Q17" s="47"/>
      <c r="R17" s="47"/>
      <c r="S17" s="47"/>
      <c r="T17" s="57"/>
      <c r="U17" s="57"/>
    </row>
    <row r="18" spans="1:21" x14ac:dyDescent="0.3">
      <c r="A18" s="46"/>
      <c r="B18" s="46"/>
      <c r="C18" s="46"/>
      <c r="D18" s="47"/>
      <c r="E18" s="47"/>
      <c r="F18" s="47"/>
      <c r="G18" s="47"/>
      <c r="H18" s="47"/>
      <c r="I18" s="47"/>
      <c r="J18" s="47"/>
      <c r="K18" s="47"/>
      <c r="L18" s="47"/>
      <c r="M18" s="47"/>
      <c r="N18" s="47"/>
      <c r="O18" s="47"/>
      <c r="P18" s="47"/>
      <c r="Q18" s="47"/>
      <c r="R18" s="47"/>
      <c r="S18" s="47"/>
      <c r="T18" s="57"/>
      <c r="U18" s="57"/>
    </row>
    <row r="19" spans="1:21" x14ac:dyDescent="0.3">
      <c r="A19" s="46"/>
      <c r="B19" s="46"/>
      <c r="C19" s="46"/>
      <c r="D19" s="47"/>
      <c r="E19" s="47"/>
      <c r="F19" s="47"/>
      <c r="G19" s="47"/>
      <c r="H19" s="47"/>
      <c r="I19" s="47"/>
      <c r="J19" s="47"/>
      <c r="K19" s="47"/>
      <c r="L19" s="47"/>
      <c r="M19" s="47"/>
      <c r="N19" s="47"/>
      <c r="O19" s="47"/>
      <c r="P19" s="47"/>
      <c r="Q19" s="47"/>
      <c r="R19" s="47"/>
      <c r="S19" s="47"/>
      <c r="T19" s="57"/>
      <c r="U19" s="57"/>
    </row>
    <row r="20" spans="1:21" x14ac:dyDescent="0.3">
      <c r="A20" s="46"/>
      <c r="B20" s="46"/>
      <c r="C20" s="46"/>
      <c r="D20" s="47"/>
      <c r="E20" s="47"/>
      <c r="F20" s="47"/>
      <c r="G20" s="47"/>
      <c r="H20" s="47"/>
      <c r="I20" s="47"/>
      <c r="J20" s="47"/>
      <c r="K20" s="47"/>
      <c r="L20" s="47"/>
      <c r="M20" s="47"/>
      <c r="N20" s="47"/>
      <c r="O20" s="47"/>
      <c r="P20" s="47"/>
      <c r="Q20" s="47"/>
      <c r="R20" s="47"/>
      <c r="S20" s="47"/>
      <c r="T20" s="57"/>
      <c r="U20" s="57"/>
    </row>
    <row r="21" spans="1:21" x14ac:dyDescent="0.3">
      <c r="A21" s="46"/>
      <c r="B21" s="46"/>
      <c r="C21" s="46"/>
      <c r="D21" s="47"/>
      <c r="E21" s="47"/>
      <c r="F21" s="47"/>
      <c r="G21" s="47"/>
      <c r="H21" s="47"/>
      <c r="I21" s="47"/>
      <c r="J21" s="47"/>
      <c r="K21" s="47"/>
      <c r="L21" s="47"/>
      <c r="M21" s="47"/>
      <c r="N21" s="47"/>
      <c r="O21" s="47"/>
      <c r="P21" s="47"/>
      <c r="Q21" s="47"/>
      <c r="R21" s="47"/>
      <c r="S21" s="47"/>
      <c r="T21" s="57"/>
      <c r="U21" s="57"/>
    </row>
    <row r="22" spans="1:21" x14ac:dyDescent="0.3">
      <c r="A22" s="46"/>
      <c r="B22" s="46"/>
      <c r="C22" s="46"/>
      <c r="D22" s="47"/>
      <c r="E22" s="47"/>
      <c r="F22" s="47"/>
      <c r="G22" s="47"/>
      <c r="H22" s="47"/>
      <c r="I22" s="47"/>
      <c r="J22" s="47"/>
      <c r="K22" s="47"/>
      <c r="L22" s="47"/>
      <c r="M22" s="47"/>
      <c r="N22" s="47"/>
      <c r="O22" s="47"/>
      <c r="P22" s="47"/>
      <c r="Q22" s="47"/>
      <c r="R22" s="47"/>
      <c r="S22" s="47"/>
      <c r="T22" s="57"/>
      <c r="U22" s="57"/>
    </row>
    <row r="23" spans="1:21" x14ac:dyDescent="0.3">
      <c r="A23" s="46"/>
      <c r="B23" s="46"/>
      <c r="C23" s="46"/>
      <c r="D23" s="47"/>
      <c r="E23" s="47"/>
      <c r="F23" s="47"/>
      <c r="G23" s="47"/>
      <c r="H23" s="47"/>
      <c r="I23" s="47"/>
      <c r="J23" s="47"/>
      <c r="K23" s="47"/>
      <c r="L23" s="47"/>
      <c r="M23" s="47"/>
      <c r="N23" s="47"/>
      <c r="O23" s="47"/>
      <c r="P23" s="47"/>
      <c r="Q23" s="47"/>
      <c r="R23" s="47"/>
      <c r="S23" s="47"/>
      <c r="T23" s="57"/>
      <c r="U23" s="57"/>
    </row>
    <row r="24" spans="1:21" x14ac:dyDescent="0.3">
      <c r="A24" s="46"/>
      <c r="B24" s="46"/>
      <c r="C24" s="46"/>
      <c r="D24" s="47"/>
      <c r="E24" s="47"/>
      <c r="F24" s="47"/>
      <c r="G24" s="47"/>
      <c r="H24" s="47"/>
      <c r="I24" s="47"/>
      <c r="J24" s="47"/>
      <c r="K24" s="47"/>
      <c r="L24" s="47"/>
      <c r="M24" s="47"/>
      <c r="N24" s="47"/>
      <c r="O24" s="47"/>
      <c r="P24" s="47"/>
      <c r="Q24" s="47"/>
      <c r="R24" s="47"/>
      <c r="S24" s="47"/>
      <c r="T24" s="57"/>
      <c r="U24" s="57"/>
    </row>
    <row r="25" spans="1:21" ht="15" customHeight="1" x14ac:dyDescent="0.3">
      <c r="A25" s="46" t="s">
        <v>86</v>
      </c>
      <c r="B25" s="46"/>
      <c r="C25" s="46"/>
      <c r="D25" s="47" t="s">
        <v>116</v>
      </c>
      <c r="E25" s="47"/>
      <c r="F25" s="47"/>
      <c r="G25" s="47"/>
      <c r="H25" s="47"/>
      <c r="I25" s="47"/>
      <c r="J25" s="47"/>
      <c r="K25" s="47"/>
      <c r="L25" s="47" t="s">
        <v>117</v>
      </c>
      <c r="M25" s="47"/>
      <c r="N25" s="47"/>
      <c r="O25" s="47"/>
      <c r="P25" s="47"/>
      <c r="Q25" s="47"/>
      <c r="R25" s="47"/>
      <c r="S25" s="47"/>
      <c r="T25" s="46" t="s">
        <v>89</v>
      </c>
      <c r="U25" s="46"/>
    </row>
    <row r="26" spans="1:21" x14ac:dyDescent="0.3">
      <c r="A26" s="46"/>
      <c r="B26" s="46"/>
      <c r="C26" s="46"/>
      <c r="D26" s="47"/>
      <c r="E26" s="47"/>
      <c r="F26" s="47"/>
      <c r="G26" s="47"/>
      <c r="H26" s="47"/>
      <c r="I26" s="47"/>
      <c r="J26" s="47"/>
      <c r="K26" s="47"/>
      <c r="L26" s="47"/>
      <c r="M26" s="47"/>
      <c r="N26" s="47"/>
      <c r="O26" s="47"/>
      <c r="P26" s="47"/>
      <c r="Q26" s="47"/>
      <c r="R26" s="47"/>
      <c r="S26" s="47"/>
      <c r="T26" s="46"/>
      <c r="U26" s="46"/>
    </row>
    <row r="27" spans="1:21" x14ac:dyDescent="0.3">
      <c r="A27" s="46"/>
      <c r="B27" s="46"/>
      <c r="C27" s="46"/>
      <c r="D27" s="47"/>
      <c r="E27" s="47"/>
      <c r="F27" s="47"/>
      <c r="G27" s="47"/>
      <c r="H27" s="47"/>
      <c r="I27" s="47"/>
      <c r="J27" s="47"/>
      <c r="K27" s="47"/>
      <c r="L27" s="47"/>
      <c r="M27" s="47"/>
      <c r="N27" s="47"/>
      <c r="O27" s="47"/>
      <c r="P27" s="47"/>
      <c r="Q27" s="47"/>
      <c r="R27" s="47"/>
      <c r="S27" s="47"/>
      <c r="T27" s="46"/>
      <c r="U27" s="46"/>
    </row>
    <row r="28" spans="1:21" x14ac:dyDescent="0.3">
      <c r="A28" s="46"/>
      <c r="B28" s="46"/>
      <c r="C28" s="46"/>
      <c r="D28" s="47"/>
      <c r="E28" s="47"/>
      <c r="F28" s="47"/>
      <c r="G28" s="47"/>
      <c r="H28" s="47"/>
      <c r="I28" s="47"/>
      <c r="J28" s="47"/>
      <c r="K28" s="47"/>
      <c r="L28" s="47"/>
      <c r="M28" s="47"/>
      <c r="N28" s="47"/>
      <c r="O28" s="47"/>
      <c r="P28" s="47"/>
      <c r="Q28" s="47"/>
      <c r="R28" s="47"/>
      <c r="S28" s="47"/>
      <c r="T28" s="46"/>
      <c r="U28" s="46"/>
    </row>
    <row r="29" spans="1:21" x14ac:dyDescent="0.3">
      <c r="A29" s="46"/>
      <c r="B29" s="46"/>
      <c r="C29" s="46"/>
      <c r="D29" s="47"/>
      <c r="E29" s="47"/>
      <c r="F29" s="47"/>
      <c r="G29" s="47"/>
      <c r="H29" s="47"/>
      <c r="I29" s="47"/>
      <c r="J29" s="47"/>
      <c r="K29" s="47"/>
      <c r="L29" s="47"/>
      <c r="M29" s="47"/>
      <c r="N29" s="47"/>
      <c r="O29" s="47"/>
      <c r="P29" s="47"/>
      <c r="Q29" s="47"/>
      <c r="R29" s="47"/>
      <c r="S29" s="47"/>
      <c r="T29" s="46"/>
      <c r="U29" s="46"/>
    </row>
    <row r="30" spans="1:21" x14ac:dyDescent="0.3">
      <c r="A30" s="46"/>
      <c r="B30" s="46"/>
      <c r="C30" s="46"/>
      <c r="D30" s="47"/>
      <c r="E30" s="47"/>
      <c r="F30" s="47"/>
      <c r="G30" s="47"/>
      <c r="H30" s="47"/>
      <c r="I30" s="47"/>
      <c r="J30" s="47"/>
      <c r="K30" s="47"/>
      <c r="L30" s="47"/>
      <c r="M30" s="47"/>
      <c r="N30" s="47"/>
      <c r="O30" s="47"/>
      <c r="P30" s="47"/>
      <c r="Q30" s="47"/>
      <c r="R30" s="47"/>
      <c r="S30" s="47"/>
      <c r="T30" s="46"/>
      <c r="U30" s="46"/>
    </row>
    <row r="31" spans="1:21" x14ac:dyDescent="0.3">
      <c r="A31" s="46"/>
      <c r="B31" s="46"/>
      <c r="C31" s="46"/>
      <c r="D31" s="47"/>
      <c r="E31" s="47"/>
      <c r="F31" s="47"/>
      <c r="G31" s="47"/>
      <c r="H31" s="47"/>
      <c r="I31" s="47"/>
      <c r="J31" s="47"/>
      <c r="K31" s="47"/>
      <c r="L31" s="47"/>
      <c r="M31" s="47"/>
      <c r="N31" s="47"/>
      <c r="O31" s="47"/>
      <c r="P31" s="47"/>
      <c r="Q31" s="47"/>
      <c r="R31" s="47"/>
      <c r="S31" s="47"/>
      <c r="T31" s="46"/>
      <c r="U31" s="46"/>
    </row>
    <row r="32" spans="1:21" x14ac:dyDescent="0.3">
      <c r="A32" s="46"/>
      <c r="B32" s="46"/>
      <c r="C32" s="46"/>
      <c r="D32" s="47"/>
      <c r="E32" s="47"/>
      <c r="F32" s="47"/>
      <c r="G32" s="47"/>
      <c r="H32" s="47"/>
      <c r="I32" s="47"/>
      <c r="J32" s="47"/>
      <c r="K32" s="47"/>
      <c r="L32" s="47"/>
      <c r="M32" s="47"/>
      <c r="N32" s="47"/>
      <c r="O32" s="47"/>
      <c r="P32" s="47"/>
      <c r="Q32" s="47"/>
      <c r="R32" s="47"/>
      <c r="S32" s="47"/>
      <c r="T32" s="46"/>
      <c r="U32" s="46"/>
    </row>
    <row r="33" spans="1:21" x14ac:dyDescent="0.3">
      <c r="A33" s="46"/>
      <c r="B33" s="46"/>
      <c r="C33" s="46"/>
      <c r="D33" s="47"/>
      <c r="E33" s="47"/>
      <c r="F33" s="47"/>
      <c r="G33" s="47"/>
      <c r="H33" s="47"/>
      <c r="I33" s="47"/>
      <c r="J33" s="47"/>
      <c r="K33" s="47"/>
      <c r="L33" s="47"/>
      <c r="M33" s="47"/>
      <c r="N33" s="47"/>
      <c r="O33" s="47"/>
      <c r="P33" s="47"/>
      <c r="Q33" s="47"/>
      <c r="R33" s="47"/>
      <c r="S33" s="47"/>
      <c r="T33" s="46"/>
      <c r="U33" s="46"/>
    </row>
    <row r="34" spans="1:21" x14ac:dyDescent="0.3">
      <c r="A34" s="46"/>
      <c r="B34" s="46"/>
      <c r="C34" s="46"/>
      <c r="D34" s="47"/>
      <c r="E34" s="47"/>
      <c r="F34" s="47"/>
      <c r="G34" s="47"/>
      <c r="H34" s="47"/>
      <c r="I34" s="47"/>
      <c r="J34" s="47"/>
      <c r="K34" s="47"/>
      <c r="L34" s="47"/>
      <c r="M34" s="47"/>
      <c r="N34" s="47"/>
      <c r="O34" s="47"/>
      <c r="P34" s="47"/>
      <c r="Q34" s="47"/>
      <c r="R34" s="47"/>
      <c r="S34" s="47"/>
      <c r="T34" s="46"/>
      <c r="U34" s="46"/>
    </row>
    <row r="35" spans="1:21" x14ac:dyDescent="0.3">
      <c r="A35" s="46"/>
      <c r="B35" s="46"/>
      <c r="C35" s="46"/>
      <c r="D35" s="47"/>
      <c r="E35" s="47"/>
      <c r="F35" s="47"/>
      <c r="G35" s="47"/>
      <c r="H35" s="47"/>
      <c r="I35" s="47"/>
      <c r="J35" s="47"/>
      <c r="K35" s="47"/>
      <c r="L35" s="47"/>
      <c r="M35" s="47"/>
      <c r="N35" s="47"/>
      <c r="O35" s="47"/>
      <c r="P35" s="47"/>
      <c r="Q35" s="47"/>
      <c r="R35" s="47"/>
      <c r="S35" s="47"/>
      <c r="T35" s="46"/>
      <c r="U35" s="46"/>
    </row>
    <row r="36" spans="1:21" x14ac:dyDescent="0.3">
      <c r="A36" s="46"/>
      <c r="B36" s="46"/>
      <c r="C36" s="46"/>
      <c r="D36" s="47"/>
      <c r="E36" s="47"/>
      <c r="F36" s="47"/>
      <c r="G36" s="47"/>
      <c r="H36" s="47"/>
      <c r="I36" s="47"/>
      <c r="J36" s="47"/>
      <c r="K36" s="47"/>
      <c r="L36" s="47"/>
      <c r="M36" s="47"/>
      <c r="N36" s="47"/>
      <c r="O36" s="47"/>
      <c r="P36" s="47"/>
      <c r="Q36" s="47"/>
      <c r="R36" s="47"/>
      <c r="S36" s="47"/>
      <c r="T36" s="46"/>
      <c r="U36" s="46"/>
    </row>
    <row r="37" spans="1:21" x14ac:dyDescent="0.3">
      <c r="A37" s="46"/>
      <c r="B37" s="46"/>
      <c r="C37" s="46"/>
      <c r="D37" s="47"/>
      <c r="E37" s="47"/>
      <c r="F37" s="47"/>
      <c r="G37" s="47"/>
      <c r="H37" s="47"/>
      <c r="I37" s="47"/>
      <c r="J37" s="47"/>
      <c r="K37" s="47"/>
      <c r="L37" s="47"/>
      <c r="M37" s="47"/>
      <c r="N37" s="47"/>
      <c r="O37" s="47"/>
      <c r="P37" s="47"/>
      <c r="Q37" s="47"/>
      <c r="R37" s="47"/>
      <c r="S37" s="47"/>
      <c r="T37" s="46"/>
      <c r="U37" s="46"/>
    </row>
    <row r="38" spans="1:21" x14ac:dyDescent="0.3">
      <c r="D38" s="38"/>
      <c r="E38" s="38"/>
      <c r="F38" s="38"/>
      <c r="G38" s="38"/>
      <c r="H38" s="38"/>
      <c r="I38" s="38"/>
      <c r="J38" s="38"/>
      <c r="K38" s="38"/>
      <c r="L38" s="39"/>
      <c r="M38" s="39"/>
      <c r="N38" s="39"/>
      <c r="O38" s="39"/>
      <c r="P38" s="39"/>
      <c r="Q38" s="39"/>
      <c r="R38" s="39"/>
      <c r="S38" s="39"/>
    </row>
    <row r="39" spans="1:21" x14ac:dyDescent="0.3">
      <c r="D39" s="38"/>
      <c r="E39" s="38"/>
      <c r="F39" s="38"/>
      <c r="G39" s="38"/>
      <c r="H39" s="38"/>
      <c r="I39" s="38"/>
      <c r="J39" s="38"/>
      <c r="K39" s="38"/>
    </row>
    <row r="40" spans="1:21" x14ac:dyDescent="0.3">
      <c r="D40" s="38"/>
      <c r="E40" s="38"/>
      <c r="F40" s="38"/>
      <c r="G40" s="38"/>
      <c r="H40" s="38"/>
      <c r="I40" s="38"/>
      <c r="J40" s="38"/>
      <c r="K40" s="38"/>
    </row>
  </sheetData>
  <mergeCells count="17">
    <mergeCell ref="T3:U3"/>
    <mergeCell ref="A3:C3"/>
    <mergeCell ref="D3:K3"/>
    <mergeCell ref="L3:S3"/>
    <mergeCell ref="A1:S2"/>
    <mergeCell ref="A25:C37"/>
    <mergeCell ref="D25:K37"/>
    <mergeCell ref="L25:S37"/>
    <mergeCell ref="T14:U24"/>
    <mergeCell ref="T25:U37"/>
    <mergeCell ref="D14:K24"/>
    <mergeCell ref="L14:S24"/>
    <mergeCell ref="A14:C24"/>
    <mergeCell ref="D4:K13"/>
    <mergeCell ref="A4:C13"/>
    <mergeCell ref="L4:S13"/>
    <mergeCell ref="T4:U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AE323-E4B8-4E42-9C69-FE534E3B1848}">
  <dimension ref="A1:M17"/>
  <sheetViews>
    <sheetView topLeftCell="A5" workbookViewId="0">
      <selection activeCell="C5" sqref="C5"/>
    </sheetView>
  </sheetViews>
  <sheetFormatPr defaultRowHeight="14.4" x14ac:dyDescent="0.3"/>
  <cols>
    <col min="1" max="1" width="24.44140625" customWidth="1"/>
    <col min="2" max="2" width="41" bestFit="1" customWidth="1"/>
    <col min="3" max="3" width="53.88671875" customWidth="1"/>
    <col min="4" max="4" width="37.44140625" customWidth="1"/>
    <col min="5" max="5" width="10.5546875" customWidth="1"/>
    <col min="6" max="6" width="26" customWidth="1"/>
    <col min="7" max="7" width="36.44140625" customWidth="1"/>
    <col min="8" max="8" width="40" bestFit="1" customWidth="1"/>
    <col min="9" max="9" width="18" customWidth="1"/>
    <col min="10" max="10" width="28" customWidth="1"/>
    <col min="11" max="11" width="29" customWidth="1"/>
    <col min="12" max="12" width="19.5546875" customWidth="1"/>
    <col min="13" max="13" width="5.5546875" customWidth="1"/>
  </cols>
  <sheetData>
    <row r="1" spans="1:13" x14ac:dyDescent="0.3">
      <c r="A1" s="50" t="s">
        <v>118</v>
      </c>
      <c r="B1" s="51"/>
      <c r="C1" s="51"/>
      <c r="D1" s="51"/>
      <c r="E1" s="51"/>
      <c r="F1" s="51"/>
      <c r="G1" s="51"/>
      <c r="H1" s="51"/>
      <c r="I1" s="51"/>
    </row>
    <row r="2" spans="1:13" x14ac:dyDescent="0.3">
      <c r="A2" s="51"/>
      <c r="B2" s="51"/>
      <c r="C2" s="51"/>
      <c r="D2" s="51"/>
      <c r="E2" s="51"/>
      <c r="F2" s="51"/>
      <c r="G2" s="51"/>
      <c r="H2" s="51"/>
      <c r="I2" s="51"/>
    </row>
    <row r="3" spans="1:13" ht="18" x14ac:dyDescent="0.3">
      <c r="A3" s="52" t="s">
        <v>6</v>
      </c>
      <c r="B3" s="54" t="s">
        <v>7</v>
      </c>
      <c r="C3" s="55"/>
      <c r="D3" s="56"/>
      <c r="E3" s="5"/>
    </row>
    <row r="4" spans="1:13" ht="18" x14ac:dyDescent="0.3">
      <c r="A4" s="53"/>
      <c r="B4" s="1" t="s">
        <v>12</v>
      </c>
      <c r="C4" s="1" t="s">
        <v>13</v>
      </c>
      <c r="D4" s="26" t="s">
        <v>14</v>
      </c>
      <c r="E4" s="1"/>
    </row>
    <row r="5" spans="1:13" ht="201.9" customHeight="1" x14ac:dyDescent="0.3">
      <c r="A5" s="2" t="s">
        <v>17</v>
      </c>
      <c r="B5" s="3" t="s">
        <v>119</v>
      </c>
      <c r="C5" s="4" t="s">
        <v>120</v>
      </c>
      <c r="D5" s="3" t="s">
        <v>121</v>
      </c>
      <c r="E5" s="3"/>
    </row>
    <row r="6" spans="1:13" ht="81.900000000000006" customHeight="1" x14ac:dyDescent="0.3">
      <c r="A6" s="2" t="s">
        <v>32</v>
      </c>
      <c r="B6" s="3" t="s">
        <v>122</v>
      </c>
      <c r="C6" s="4" t="s">
        <v>123</v>
      </c>
      <c r="D6" s="6" t="s">
        <v>124</v>
      </c>
      <c r="E6" s="3" t="s">
        <v>125</v>
      </c>
      <c r="J6">
        <f>6*18*40</f>
        <v>4320</v>
      </c>
      <c r="K6">
        <f>J6/60</f>
        <v>72</v>
      </c>
    </row>
    <row r="7" spans="1:13" ht="152.25" customHeight="1" x14ac:dyDescent="0.3">
      <c r="A7" s="2" t="s">
        <v>42</v>
      </c>
      <c r="B7" s="3" t="s">
        <v>126</v>
      </c>
      <c r="C7" s="4" t="s">
        <v>127</v>
      </c>
      <c r="D7" s="6" t="s">
        <v>128</v>
      </c>
      <c r="E7" s="3" t="s">
        <v>125</v>
      </c>
      <c r="K7">
        <f>K6/60</f>
        <v>1.2</v>
      </c>
      <c r="L7">
        <f>K7*26</f>
        <v>31.2</v>
      </c>
    </row>
    <row r="8" spans="1:13" ht="153" customHeight="1" x14ac:dyDescent="0.3">
      <c r="A8" s="2" t="s">
        <v>46</v>
      </c>
      <c r="B8" s="9" t="s">
        <v>129</v>
      </c>
      <c r="C8" s="4" t="s">
        <v>130</v>
      </c>
      <c r="D8" s="6" t="s">
        <v>131</v>
      </c>
      <c r="E8" s="3" t="s">
        <v>125</v>
      </c>
      <c r="F8" s="9" t="s">
        <v>132</v>
      </c>
      <c r="G8" s="4" t="s">
        <v>133</v>
      </c>
      <c r="H8" s="6" t="s">
        <v>134</v>
      </c>
      <c r="I8" s="3" t="s">
        <v>125</v>
      </c>
      <c r="K8">
        <f>29.5+17.42</f>
        <v>46.92</v>
      </c>
      <c r="L8">
        <f>L7+17.42</f>
        <v>48.620000000000005</v>
      </c>
    </row>
    <row r="9" spans="1:13" ht="165.75" customHeight="1" x14ac:dyDescent="0.3">
      <c r="A9" s="2" t="s">
        <v>135</v>
      </c>
      <c r="B9" s="7" t="s">
        <v>136</v>
      </c>
      <c r="C9" s="3" t="s">
        <v>137</v>
      </c>
      <c r="D9" s="3" t="s">
        <v>138</v>
      </c>
      <c r="E9" s="3" t="s">
        <v>125</v>
      </c>
    </row>
    <row r="10" spans="1:13" ht="192.9" customHeight="1" x14ac:dyDescent="0.3">
      <c r="A10" s="2" t="s">
        <v>62</v>
      </c>
      <c r="B10" s="9" t="s">
        <v>139</v>
      </c>
      <c r="C10" s="3" t="s">
        <v>140</v>
      </c>
      <c r="D10" s="6" t="s">
        <v>141</v>
      </c>
      <c r="E10" s="3" t="s">
        <v>125</v>
      </c>
      <c r="F10" s="8" t="s">
        <v>142</v>
      </c>
      <c r="G10" s="4" t="s">
        <v>143</v>
      </c>
      <c r="H10" s="3" t="s">
        <v>144</v>
      </c>
      <c r="I10" s="3" t="s">
        <v>125</v>
      </c>
      <c r="J10" s="8" t="s">
        <v>145</v>
      </c>
      <c r="K10" s="3" t="s">
        <v>146</v>
      </c>
      <c r="L10" s="6" t="s">
        <v>147</v>
      </c>
      <c r="M10" s="3" t="s">
        <v>125</v>
      </c>
    </row>
    <row r="11" spans="1:13" ht="102.75" customHeight="1" x14ac:dyDescent="0.3">
      <c r="A11" s="2" t="s">
        <v>148</v>
      </c>
      <c r="B11" s="8" t="s">
        <v>149</v>
      </c>
      <c r="C11" s="3" t="s">
        <v>150</v>
      </c>
      <c r="D11" s="6" t="s">
        <v>151</v>
      </c>
      <c r="E11" s="3" t="s">
        <v>125</v>
      </c>
    </row>
    <row r="12" spans="1:13" ht="138.9" customHeight="1" x14ac:dyDescent="0.3">
      <c r="A12" s="2" t="s">
        <v>152</v>
      </c>
      <c r="B12" s="9" t="s">
        <v>153</v>
      </c>
      <c r="C12" s="3" t="s">
        <v>154</v>
      </c>
      <c r="D12" s="3" t="s">
        <v>155</v>
      </c>
      <c r="E12" s="3" t="s">
        <v>125</v>
      </c>
      <c r="F12" s="11" t="s">
        <v>156</v>
      </c>
      <c r="G12" s="3" t="s">
        <v>157</v>
      </c>
      <c r="H12" s="6" t="s">
        <v>158</v>
      </c>
      <c r="I12" s="3" t="s">
        <v>125</v>
      </c>
    </row>
    <row r="13" spans="1:13" ht="84.9" customHeight="1" x14ac:dyDescent="0.3">
      <c r="A13" s="2" t="s">
        <v>159</v>
      </c>
      <c r="B13" s="7" t="s">
        <v>160</v>
      </c>
      <c r="C13" s="3" t="s">
        <v>161</v>
      </c>
      <c r="D13" s="3" t="s">
        <v>162</v>
      </c>
      <c r="E13" s="3" t="s">
        <v>125</v>
      </c>
    </row>
    <row r="14" spans="1:13" ht="90.9" customHeight="1" x14ac:dyDescent="0.3">
      <c r="A14" s="2" t="s">
        <v>163</v>
      </c>
      <c r="B14" s="3" t="s">
        <v>164</v>
      </c>
      <c r="C14" s="3" t="s">
        <v>165</v>
      </c>
      <c r="D14" s="3"/>
      <c r="E14" s="3" t="s">
        <v>125</v>
      </c>
    </row>
    <row r="15" spans="1:13" ht="153.75" customHeight="1" x14ac:dyDescent="0.3">
      <c r="A15" s="2" t="s">
        <v>109</v>
      </c>
      <c r="B15" s="7" t="s">
        <v>166</v>
      </c>
      <c r="C15" s="3" t="s">
        <v>167</v>
      </c>
      <c r="D15" s="3" t="s">
        <v>168</v>
      </c>
      <c r="E15" s="3" t="s">
        <v>125</v>
      </c>
    </row>
    <row r="16" spans="1:13" ht="105.9" customHeight="1" x14ac:dyDescent="0.3">
      <c r="A16" s="2" t="s">
        <v>110</v>
      </c>
      <c r="B16" s="8" t="s">
        <v>169</v>
      </c>
      <c r="C16" s="3" t="s">
        <v>170</v>
      </c>
      <c r="D16" s="6" t="s">
        <v>151</v>
      </c>
      <c r="E16" s="3"/>
    </row>
    <row r="17" spans="1:5" ht="90" x14ac:dyDescent="0.3">
      <c r="A17" s="10" t="s">
        <v>46</v>
      </c>
      <c r="B17" s="9" t="s">
        <v>132</v>
      </c>
      <c r="C17" s="4" t="s">
        <v>133</v>
      </c>
      <c r="D17" s="6" t="s">
        <v>134</v>
      </c>
      <c r="E17" s="3" t="s">
        <v>125</v>
      </c>
    </row>
  </sheetData>
  <mergeCells count="3">
    <mergeCell ref="A1:I2"/>
    <mergeCell ref="A3:A4"/>
    <mergeCell ref="B3:D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Danh sách đề tài</vt: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Lanh, HaThiKim (BIVN-R&amp;D PE)</dc:creator>
  <cp:keywords/>
  <dc:description/>
  <cp:lastModifiedBy>Nam, NguyenThanh2 (BIVN-R&amp;D PE)</cp:lastModifiedBy>
  <cp:revision/>
  <dcterms:created xsi:type="dcterms:W3CDTF">2025-04-18T03:19:53Z</dcterms:created>
  <dcterms:modified xsi:type="dcterms:W3CDTF">2026-05-19T10:07:36Z</dcterms:modified>
  <cp:category/>
  <cp:contentStatus/>
</cp:coreProperties>
</file>